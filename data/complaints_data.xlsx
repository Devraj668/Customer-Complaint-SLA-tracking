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customer-complaint-sla-tracking\data\"/>
    </mc:Choice>
  </mc:AlternateContent>
  <xr:revisionPtr revIDLastSave="0" documentId="13_ncr:1_{5EC4E0A5-7DA8-46CB-8016-A366C1BCF09C}" xr6:coauthVersionLast="47" xr6:coauthVersionMax="47" xr10:uidLastSave="{00000000-0000-0000-0000-000000000000}"/>
  <bookViews>
    <workbookView xWindow="-120" yWindow="-120" windowWidth="20730" windowHeight="11040" tabRatio="598" xr2:uid="{40AD6BCE-67FF-431B-8047-A0C24E61C871}"/>
  </bookViews>
  <sheets>
    <sheet name="Dashboard" sheetId="2" r:id="rId1"/>
    <sheet name="Pivot_Priority" sheetId="10" r:id="rId2"/>
    <sheet name="Pivot_Issues" sheetId="7" r:id="rId3"/>
    <sheet name="Pivot_Agent" sheetId="9" r:id="rId4"/>
    <sheet name="complaints_data" sheetId="1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J8" i="1"/>
  <c r="K8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  <c r="D11" i="2" l="1"/>
</calcChain>
</file>

<file path=xl/sharedStrings.xml><?xml version="1.0" encoding="utf-8"?>
<sst xmlns="http://schemas.openxmlformats.org/spreadsheetml/2006/main" count="1012" uniqueCount="252">
  <si>
    <t>Ticket_ID</t>
  </si>
  <si>
    <t>Customer_ID</t>
  </si>
  <si>
    <t>Issue_Type</t>
  </si>
  <si>
    <t>Priority</t>
  </si>
  <si>
    <t>SLA_Hours</t>
  </si>
  <si>
    <t>Ticket_Open_Date</t>
  </si>
  <si>
    <t>Ticket_Close_Date</t>
  </si>
  <si>
    <t>Status</t>
  </si>
  <si>
    <t>Agent_Name</t>
  </si>
  <si>
    <t>Resolution_Time_Hours</t>
  </si>
  <si>
    <t>SLA_Breached</t>
  </si>
  <si>
    <t>TCK1001</t>
  </si>
  <si>
    <t>CUST068</t>
  </si>
  <si>
    <t>Charges</t>
  </si>
  <si>
    <t>Low</t>
  </si>
  <si>
    <t>Closed</t>
  </si>
  <si>
    <t>Karan</t>
  </si>
  <si>
    <t>TCK1002</t>
  </si>
  <si>
    <t>CUST033</t>
  </si>
  <si>
    <t>KYC</t>
  </si>
  <si>
    <t>High</t>
  </si>
  <si>
    <t>Amit</t>
  </si>
  <si>
    <t>TCK1003</t>
  </si>
  <si>
    <t>CUST060</t>
  </si>
  <si>
    <t>Login Issue</t>
  </si>
  <si>
    <t>Rahul</t>
  </si>
  <si>
    <t>TCK1004</t>
  </si>
  <si>
    <t>CUST074</t>
  </si>
  <si>
    <t>TCK1005</t>
  </si>
  <si>
    <t>CUST026</t>
  </si>
  <si>
    <t>Medium</t>
  </si>
  <si>
    <t>TCK1006</t>
  </si>
  <si>
    <t>CUST036</t>
  </si>
  <si>
    <t>TCK1007</t>
  </si>
  <si>
    <t>CUST006</t>
  </si>
  <si>
    <t>Open</t>
  </si>
  <si>
    <t>Sneha</t>
  </si>
  <si>
    <t>TCK1008</t>
  </si>
  <si>
    <t>CUST020</t>
  </si>
  <si>
    <t>TCK1009</t>
  </si>
  <si>
    <t>CUST055</t>
  </si>
  <si>
    <t>TCK1010</t>
  </si>
  <si>
    <t>CUST064</t>
  </si>
  <si>
    <t>Disbursement Delay</t>
  </si>
  <si>
    <t>TCK1011</t>
  </si>
  <si>
    <t>CUST009</t>
  </si>
  <si>
    <t>TCK1012</t>
  </si>
  <si>
    <t>CUST071</t>
  </si>
  <si>
    <t>EMI Issue</t>
  </si>
  <si>
    <t>Priya</t>
  </si>
  <si>
    <t>TCK1013</t>
  </si>
  <si>
    <t>CUST004</t>
  </si>
  <si>
    <t>TCK1014</t>
  </si>
  <si>
    <t>CUST038</t>
  </si>
  <si>
    <t>TCK1015</t>
  </si>
  <si>
    <t>CUST003</t>
  </si>
  <si>
    <t>TCK1016</t>
  </si>
  <si>
    <t>TCK1017</t>
  </si>
  <si>
    <t>CUST017</t>
  </si>
  <si>
    <t>TCK1018</t>
  </si>
  <si>
    <t>CUST044</t>
  </si>
  <si>
    <t>TCK1019</t>
  </si>
  <si>
    <t>CUST057</t>
  </si>
  <si>
    <t>TCK1020</t>
  </si>
  <si>
    <t>TCK1021</t>
  </si>
  <si>
    <t>CUST080</t>
  </si>
  <si>
    <t>TCK1022</t>
  </si>
  <si>
    <t>CUST016</t>
  </si>
  <si>
    <t>TCK1023</t>
  </si>
  <si>
    <t>CUST031</t>
  </si>
  <si>
    <t>TCK1024</t>
  </si>
  <si>
    <t>CUST001</t>
  </si>
  <si>
    <t>TCK1025</t>
  </si>
  <si>
    <t>TCK1026</t>
  </si>
  <si>
    <t>CUST010</t>
  </si>
  <si>
    <t>TCK1027</t>
  </si>
  <si>
    <t>CUST015</t>
  </si>
  <si>
    <t>TCK1028</t>
  </si>
  <si>
    <t>CUST053</t>
  </si>
  <si>
    <t>TCK1029</t>
  </si>
  <si>
    <t>CUST027</t>
  </si>
  <si>
    <t>TCK1030</t>
  </si>
  <si>
    <t>CUST067</t>
  </si>
  <si>
    <t>TCK1031</t>
  </si>
  <si>
    <t>CUST032</t>
  </si>
  <si>
    <t>TCK1032</t>
  </si>
  <si>
    <t>CUST013</t>
  </si>
  <si>
    <t>TCK1033</t>
  </si>
  <si>
    <t>CUST035</t>
  </si>
  <si>
    <t>TCK1034</t>
  </si>
  <si>
    <t>CUST025</t>
  </si>
  <si>
    <t>TCK1035</t>
  </si>
  <si>
    <t>CUST045</t>
  </si>
  <si>
    <t>TCK1036</t>
  </si>
  <si>
    <t>CUST039</t>
  </si>
  <si>
    <t>TCK1037</t>
  </si>
  <si>
    <t>CUST002</t>
  </si>
  <si>
    <t>TCK1038</t>
  </si>
  <si>
    <t>CUST079</t>
  </si>
  <si>
    <t>TCK1039</t>
  </si>
  <si>
    <t>TCK1040</t>
  </si>
  <si>
    <t>CUST050</t>
  </si>
  <si>
    <t>TCK1041</t>
  </si>
  <si>
    <t>CUST049</t>
  </si>
  <si>
    <t>TCK1042</t>
  </si>
  <si>
    <t>CUST061</t>
  </si>
  <si>
    <t>TCK1043</t>
  </si>
  <si>
    <t>CUST063</t>
  </si>
  <si>
    <t>TCK1044</t>
  </si>
  <si>
    <t>CUST076</t>
  </si>
  <si>
    <t>TCK1045</t>
  </si>
  <si>
    <t>CUST048</t>
  </si>
  <si>
    <t>TCK1046</t>
  </si>
  <si>
    <t>TCK1047</t>
  </si>
  <si>
    <t>CUST075</t>
  </si>
  <si>
    <t>TCK1048</t>
  </si>
  <si>
    <t>CUST041</t>
  </si>
  <si>
    <t>TCK1049</t>
  </si>
  <si>
    <t>TCK1050</t>
  </si>
  <si>
    <t>CUST023</t>
  </si>
  <si>
    <t>TCK1051</t>
  </si>
  <si>
    <t>TCK1052</t>
  </si>
  <si>
    <t>CUST014</t>
  </si>
  <si>
    <t>TCK1053</t>
  </si>
  <si>
    <t>CUST005</t>
  </si>
  <si>
    <t>TCK1054</t>
  </si>
  <si>
    <t>TCK1055</t>
  </si>
  <si>
    <t>TCK1056</t>
  </si>
  <si>
    <t>CUST029</t>
  </si>
  <si>
    <t>TCK1057</t>
  </si>
  <si>
    <t>CUST051</t>
  </si>
  <si>
    <t>TCK1058</t>
  </si>
  <si>
    <t>TCK1059</t>
  </si>
  <si>
    <t>CUST022</t>
  </si>
  <si>
    <t>TCK1060</t>
  </si>
  <si>
    <t>CUST007</t>
  </si>
  <si>
    <t>TCK1061</t>
  </si>
  <si>
    <t>TCK1062</t>
  </si>
  <si>
    <t>CUST069</t>
  </si>
  <si>
    <t>TCK1063</t>
  </si>
  <si>
    <t>CUST073</t>
  </si>
  <si>
    <t>TCK1064</t>
  </si>
  <si>
    <t>CUST062</t>
  </si>
  <si>
    <t>TCK1065</t>
  </si>
  <si>
    <t>TCK1066</t>
  </si>
  <si>
    <t>CUST054</t>
  </si>
  <si>
    <t>TCK1067</t>
  </si>
  <si>
    <t>CUST043</t>
  </si>
  <si>
    <t>TCK1068</t>
  </si>
  <si>
    <t>TCK1069</t>
  </si>
  <si>
    <t>TCK1070</t>
  </si>
  <si>
    <t>TCK1071</t>
  </si>
  <si>
    <t>TCK1072</t>
  </si>
  <si>
    <t>TCK1073</t>
  </si>
  <si>
    <t>TCK1074</t>
  </si>
  <si>
    <t>TCK1075</t>
  </si>
  <si>
    <t>CUST037</t>
  </si>
  <si>
    <t>TCK1076</t>
  </si>
  <si>
    <t>TCK1077</t>
  </si>
  <si>
    <t>TCK1078</t>
  </si>
  <si>
    <t>CUST042</t>
  </si>
  <si>
    <t>TCK1079</t>
  </si>
  <si>
    <t>CUST072</t>
  </si>
  <si>
    <t>TCK1080</t>
  </si>
  <si>
    <t>TCK1081</t>
  </si>
  <si>
    <t>TCK1082</t>
  </si>
  <si>
    <t>TCK1083</t>
  </si>
  <si>
    <t>TCK1084</t>
  </si>
  <si>
    <t>CUST018</t>
  </si>
  <si>
    <t>TCK1085</t>
  </si>
  <si>
    <t>TCK1086</t>
  </si>
  <si>
    <t>TCK1087</t>
  </si>
  <si>
    <t>TCK1088</t>
  </si>
  <si>
    <t>CUST046</t>
  </si>
  <si>
    <t>TCK1089</t>
  </si>
  <si>
    <t>CUST058</t>
  </si>
  <si>
    <t>TCK1090</t>
  </si>
  <si>
    <t>TCK1091</t>
  </si>
  <si>
    <t>TCK1092</t>
  </si>
  <si>
    <t>TCK1093</t>
  </si>
  <si>
    <t>TCK1094</t>
  </si>
  <si>
    <t>TCK1095</t>
  </si>
  <si>
    <t>TCK1096</t>
  </si>
  <si>
    <t>TCK1097</t>
  </si>
  <si>
    <t>TCK1098</t>
  </si>
  <si>
    <t>TCK1099</t>
  </si>
  <si>
    <t>TCK1100</t>
  </si>
  <si>
    <t>TCK1101</t>
  </si>
  <si>
    <t>TCK1102</t>
  </si>
  <si>
    <t>TCK1103</t>
  </si>
  <si>
    <t>TCK1104</t>
  </si>
  <si>
    <t>TCK1105</t>
  </si>
  <si>
    <t>TCK1106</t>
  </si>
  <si>
    <t>TCK1107</t>
  </si>
  <si>
    <t>CUST008</t>
  </si>
  <si>
    <t>TCK1108</t>
  </si>
  <si>
    <t>TCK1109</t>
  </si>
  <si>
    <t>TCK1110</t>
  </si>
  <si>
    <t>TCK1111</t>
  </si>
  <si>
    <t>TCK1112</t>
  </si>
  <si>
    <t>CUST056</t>
  </si>
  <si>
    <t>TCK1113</t>
  </si>
  <si>
    <t>CUST078</t>
  </si>
  <si>
    <t>TCK1114</t>
  </si>
  <si>
    <t>TCK1115</t>
  </si>
  <si>
    <t>TCK1116</t>
  </si>
  <si>
    <t>TCK1117</t>
  </si>
  <si>
    <t>TCK1118</t>
  </si>
  <si>
    <t>TCK1119</t>
  </si>
  <si>
    <t>TCK1120</t>
  </si>
  <si>
    <t>TCK1121</t>
  </si>
  <si>
    <t>TCK1122</t>
  </si>
  <si>
    <t>TCK1123</t>
  </si>
  <si>
    <t>CUST028</t>
  </si>
  <si>
    <t>TCK1124</t>
  </si>
  <si>
    <t>TCK1125</t>
  </si>
  <si>
    <t>TCK1126</t>
  </si>
  <si>
    <t>CUST066</t>
  </si>
  <si>
    <t>TCK1127</t>
  </si>
  <si>
    <t>TCK1128</t>
  </si>
  <si>
    <t>TCK1129</t>
  </si>
  <si>
    <t>TCK1130</t>
  </si>
  <si>
    <t>CUST047</t>
  </si>
  <si>
    <t>TCK1131</t>
  </si>
  <si>
    <t>TCK1132</t>
  </si>
  <si>
    <t>TCK1133</t>
  </si>
  <si>
    <t>TCK1134</t>
  </si>
  <si>
    <t>TCK1135</t>
  </si>
  <si>
    <t>TCK1136</t>
  </si>
  <si>
    <t>TCK1137</t>
  </si>
  <si>
    <t>TCK1138</t>
  </si>
  <si>
    <t>TCK1139</t>
  </si>
  <si>
    <t>TCK1140</t>
  </si>
  <si>
    <t>TCK1141</t>
  </si>
  <si>
    <t>TCK1142</t>
  </si>
  <si>
    <t>TCK1143</t>
  </si>
  <si>
    <t>TCK1144</t>
  </si>
  <si>
    <t>TCK1145</t>
  </si>
  <si>
    <t>TCK1146</t>
  </si>
  <si>
    <t>TCK1147</t>
  </si>
  <si>
    <t>TCK1148</t>
  </si>
  <si>
    <t>TCK1149</t>
  </si>
  <si>
    <t>TCK1150</t>
  </si>
  <si>
    <t>null</t>
  </si>
  <si>
    <t>Total Tickets</t>
  </si>
  <si>
    <t>Grand Total</t>
  </si>
  <si>
    <t>Tickets Handled</t>
  </si>
  <si>
    <t>Issue Type</t>
  </si>
  <si>
    <t>Count of Tickets</t>
  </si>
  <si>
    <t>SLA Compliance%</t>
  </si>
  <si>
    <t>Complaint Priority</t>
  </si>
  <si>
    <t>Priority Type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</si>
</sst>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\ h:mm:ss"/>
  </numFmts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pivotButton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9" fontId="0" fillId="0" borderId="0" xfId="0" applyNumberFormat="1" applyFont="1" applyAlignment="1">
      <alignment horizontal="center" vertical="center"/>
    </xf>
    <xf numFmtId="0" fontId="0" fillId="0" borderId="0" xfId="0" pivotButton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36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trike val="0"/>
        <color theme="0"/>
      </font>
      <fill>
        <patternFill>
          <fgColor auto="1"/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85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u/>
      </font>
    </dxf>
    <dxf>
      <font>
        <u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</font>
    </dxf>
    <dxf>
      <font>
        <u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u/>
      </font>
    </dxf>
    <dxf>
      <font>
        <u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</font>
    </dxf>
    <dxf>
      <font>
        <u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u/>
      </font>
    </dxf>
    <dxf>
      <font>
        <u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</font>
    </dxf>
    <dxf>
      <font>
        <u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u/>
      </font>
    </dxf>
    <dxf>
      <font>
        <u/>
      </font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u val="none"/>
      </font>
    </dxf>
    <dxf>
      <font>
        <u val="none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/mm/dd\ h:mm:ss"/>
      <alignment horizontal="center" vertical="center" textRotation="0" wrapText="0" indent="0" justifyLastLine="0" shrinkToFit="0" readingOrder="0"/>
    </dxf>
    <dxf>
      <numFmt numFmtId="164" formatCode="yyyy/mm/dd\ 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3" formatCode="0%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none"/>
      </font>
    </dxf>
    <dxf>
      <font>
        <u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u/>
      </font>
    </dxf>
    <dxf>
      <font>
        <u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</font>
    </dxf>
  </dxfs>
  <tableStyles count="2" defaultTableStyle="TableStyleMedium2" defaultPivotStyle="PivotStyleLight16">
    <tableStyle name="Table Style 1" pivot="0" count="1" xr9:uid="{336396D6-CE3F-41F2-A0B3-F1ABF8B2629D}">
      <tableStyleElement type="wholeTable" dxfId="365"/>
    </tableStyle>
    <tableStyle name="Table Style 2" pivot="0" count="1" xr9:uid="{826C8AA5-4A5C-4FE4-8C8B-C5A828C7CD4F}">
      <tableStyleElement type="wholeTable" dxfId="364"/>
    </tableStyle>
  </tableStyles>
  <colors>
    <mruColors>
      <color rgb="FFFF000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[complaints_data.xlsx]Pivot_Issues!PivotTable3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i="0" u="sng">
                <a:solidFill>
                  <a:schemeClr val="tx1"/>
                </a:solidFill>
              </a:rPr>
              <a:t>Complaints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Pivot_Issues!$C$3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Pivot_Issues!$B$4:$B$9</c:f>
              <c:strCache>
                <c:ptCount val="5"/>
                <c:pt idx="0">
                  <c:v>Login Issue</c:v>
                </c:pt>
                <c:pt idx="1">
                  <c:v>KYC</c:v>
                </c:pt>
                <c:pt idx="2">
                  <c:v>EMI Issue</c:v>
                </c:pt>
                <c:pt idx="3">
                  <c:v>Disbursement Delay</c:v>
                </c:pt>
                <c:pt idx="4">
                  <c:v>Charges</c:v>
                </c:pt>
              </c:strCache>
            </c:strRef>
          </c:cat>
          <c:val>
            <c:numRef>
              <c:f>Pivot_Issues!$C$4:$C$9</c:f>
              <c:numCache>
                <c:formatCode>General</c:formatCode>
                <c:ptCount val="5"/>
                <c:pt idx="0">
                  <c:v>28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9-40FF-BEC4-68CC432D6E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73543552"/>
        <c:axId val="1173544992"/>
      </c:barChart>
      <c:catAx>
        <c:axId val="1173543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sng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173544992"/>
        <c:crosses val="autoZero"/>
        <c:auto val="1"/>
        <c:lblAlgn val="ctr"/>
        <c:lblOffset val="100"/>
        <c:noMultiLvlLbl val="0"/>
      </c:catAx>
      <c:valAx>
        <c:axId val="11735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54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[complaints_data.xlsx]Pivot_Agent!PivotTable4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u="sng">
                <a:solidFill>
                  <a:schemeClr val="tx1"/>
                </a:solidFill>
              </a:rPr>
              <a:t>Tickets Handled by Agents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08014478464634"/>
          <c:y val="0.17002150537634408"/>
          <c:w val="0.7481054334713062"/>
          <c:h val="0.730200999068664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Pivot_Agent!$C$3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Pivot_Agent!$B$4:$B$9</c:f>
              <c:strCache>
                <c:ptCount val="5"/>
                <c:pt idx="0">
                  <c:v>Sneha</c:v>
                </c:pt>
                <c:pt idx="1">
                  <c:v>Rahul</c:v>
                </c:pt>
                <c:pt idx="2">
                  <c:v>Priya</c:v>
                </c:pt>
                <c:pt idx="3">
                  <c:v>Karan</c:v>
                </c:pt>
                <c:pt idx="4">
                  <c:v>Amit</c:v>
                </c:pt>
              </c:strCache>
            </c:strRef>
          </c:cat>
          <c:val>
            <c:numRef>
              <c:f>Pivot_Agent!$C$4:$C$9</c:f>
              <c:numCache>
                <c:formatCode>General</c:formatCode>
                <c:ptCount val="5"/>
                <c:pt idx="0">
                  <c:v>25</c:v>
                </c:pt>
                <c:pt idx="1">
                  <c:v>34</c:v>
                </c:pt>
                <c:pt idx="2">
                  <c:v>21</c:v>
                </c:pt>
                <c:pt idx="3">
                  <c:v>34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A-4C3F-8B58-972E93E32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79287936"/>
        <c:axId val="1079288416"/>
      </c:barChart>
      <c:catAx>
        <c:axId val="10792879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79288416"/>
        <c:crosses val="autoZero"/>
        <c:auto val="1"/>
        <c:lblAlgn val="ctr"/>
        <c:lblOffset val="100"/>
        <c:noMultiLvlLbl val="0"/>
      </c:catAx>
      <c:valAx>
        <c:axId val="107928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8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[complaints_data.xlsx]Pivot_Priority!PivotTable7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Complaint Priority Type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Pivot_Priority!$B$3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15-4BF3-9E72-A9F8D016EE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5-4BF3-9E72-A9F8D016EEC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15-4BF3-9E72-A9F8D016EE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Pivot_Priority!$A$4:$A$7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Pivot_Priority!$B$4:$B$7</c:f>
              <c:numCache>
                <c:formatCode>0.00%</c:formatCode>
                <c:ptCount val="3"/>
                <c:pt idx="0">
                  <c:v>0.41333333333333333</c:v>
                </c:pt>
                <c:pt idx="1">
                  <c:v>0.25333333333333335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15-4BF3-9E72-A9F8D016E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7840512"/>
        <c:axId val="1767837632"/>
      </c:barChart>
      <c:catAx>
        <c:axId val="176784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37632"/>
        <c:crosses val="autoZero"/>
        <c:auto val="1"/>
        <c:lblAlgn val="ctr"/>
        <c:lblOffset val="100"/>
        <c:noMultiLvlLbl val="0"/>
      </c:catAx>
      <c:valAx>
        <c:axId val="17678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16810</xdr:colOff>
      <xdr:row>21</xdr:row>
      <xdr:rowOff>101414</xdr:rowOff>
    </xdr:from>
    <xdr:to>
      <xdr:col>8</xdr:col>
      <xdr:colOff>551891</xdr:colOff>
      <xdr:row>35</xdr:row>
      <xdr:rowOff>63314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AED1742-33AE-8692-0955-53B3FD9DF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194591</xdr:colOff>
      <xdr:row>40</xdr:row>
      <xdr:rowOff>75640</xdr:rowOff>
    </xdr:from>
    <xdr:to>
      <xdr:col>9</xdr:col>
      <xdr:colOff>468828</xdr:colOff>
      <xdr:row>55</xdr:row>
      <xdr:rowOff>170890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6170C24-22FE-A7C7-CAB7-46537BDDF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707093</xdr:colOff>
      <xdr:row>2</xdr:row>
      <xdr:rowOff>136712</xdr:rowOff>
    </xdr:from>
    <xdr:to>
      <xdr:col>12</xdr:col>
      <xdr:colOff>167528</xdr:colOff>
      <xdr:row>18</xdr:row>
      <xdr:rowOff>60512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5491C39-B5E0-573D-267E-D713C0113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Nag" refreshedDate="46056.93863877315" createdVersion="8" refreshedVersion="8" minRefreshableVersion="3" recordCount="150" xr:uid="{90D5CD79-7187-40CB-975B-6B4E32092BA3}">
  <cacheSource type="worksheet">
    <worksheetSource name="Table1"/>
  </cacheSource>
  <cacheFields count="11">
    <cacheField name="Ticket_ID" numFmtId="0">
      <sharedItems count="150">
        <s v="TCK1001"/>
        <s v="TCK1002"/>
        <s v="TCK1003"/>
        <s v="TCK1004"/>
        <s v="TCK1005"/>
        <s v="TCK1006"/>
        <s v="TCK1007"/>
        <s v="TCK1008"/>
        <s v="TCK1009"/>
        <s v="TCK1010"/>
        <s v="TCK1011"/>
        <s v="TCK1012"/>
        <s v="TCK1013"/>
        <s v="TCK1014"/>
        <s v="TCK1015"/>
        <s v="TCK1016"/>
        <s v="TCK1017"/>
        <s v="TCK1018"/>
        <s v="TCK1019"/>
        <s v="TCK1020"/>
        <s v="TCK1021"/>
        <s v="TCK1022"/>
        <s v="TCK1023"/>
        <s v="TCK1024"/>
        <s v="TCK1025"/>
        <s v="TCK1026"/>
        <s v="TCK1027"/>
        <s v="TCK1028"/>
        <s v="TCK1029"/>
        <s v="TCK1030"/>
        <s v="TCK1031"/>
        <s v="TCK1032"/>
        <s v="TCK1033"/>
        <s v="TCK1034"/>
        <s v="TCK1035"/>
        <s v="TCK1036"/>
        <s v="TCK1037"/>
        <s v="TCK1038"/>
        <s v="TCK1039"/>
        <s v="TCK1040"/>
        <s v="TCK1041"/>
        <s v="TCK1042"/>
        <s v="TCK1043"/>
        <s v="TCK1044"/>
        <s v="TCK1045"/>
        <s v="TCK1046"/>
        <s v="TCK1047"/>
        <s v="TCK1048"/>
        <s v="TCK1049"/>
        <s v="TCK1050"/>
        <s v="TCK1051"/>
        <s v="TCK1052"/>
        <s v="TCK1053"/>
        <s v="TCK1054"/>
        <s v="TCK1055"/>
        <s v="TCK1056"/>
        <s v="TCK1057"/>
        <s v="TCK1058"/>
        <s v="TCK1059"/>
        <s v="TCK1060"/>
        <s v="TCK1061"/>
        <s v="TCK1062"/>
        <s v="TCK1063"/>
        <s v="TCK1064"/>
        <s v="TCK1065"/>
        <s v="TCK1066"/>
        <s v="TCK1067"/>
        <s v="TCK1068"/>
        <s v="TCK1069"/>
        <s v="TCK1070"/>
        <s v="TCK1071"/>
        <s v="TCK1072"/>
        <s v="TCK1073"/>
        <s v="TCK1074"/>
        <s v="TCK1075"/>
        <s v="TCK1076"/>
        <s v="TCK1077"/>
        <s v="TCK1078"/>
        <s v="TCK1079"/>
        <s v="TCK1080"/>
        <s v="TCK1081"/>
        <s v="TCK1082"/>
        <s v="TCK1083"/>
        <s v="TCK1084"/>
        <s v="TCK1085"/>
        <s v="TCK1086"/>
        <s v="TCK1087"/>
        <s v="TCK1088"/>
        <s v="TCK1089"/>
        <s v="TCK1090"/>
        <s v="TCK1091"/>
        <s v="TCK1092"/>
        <s v="TCK1093"/>
        <s v="TCK1094"/>
        <s v="TCK1095"/>
        <s v="TCK1096"/>
        <s v="TCK1097"/>
        <s v="TCK1098"/>
        <s v="TCK1099"/>
        <s v="TCK1100"/>
        <s v="TCK1101"/>
        <s v="TCK1102"/>
        <s v="TCK1103"/>
        <s v="TCK1104"/>
        <s v="TCK1105"/>
        <s v="TCK1106"/>
        <s v="TCK1107"/>
        <s v="TCK1108"/>
        <s v="TCK1109"/>
        <s v="TCK1110"/>
        <s v="TCK1111"/>
        <s v="TCK1112"/>
        <s v="TCK1113"/>
        <s v="TCK1114"/>
        <s v="TCK1115"/>
        <s v="TCK1116"/>
        <s v="TCK1117"/>
        <s v="TCK1118"/>
        <s v="TCK1119"/>
        <s v="TCK1120"/>
        <s v="TCK1121"/>
        <s v="TCK1122"/>
        <s v="TCK1123"/>
        <s v="TCK1124"/>
        <s v="TCK1125"/>
        <s v="TCK1126"/>
        <s v="TCK1127"/>
        <s v="TCK1128"/>
        <s v="TCK1129"/>
        <s v="TCK1130"/>
        <s v="TCK1131"/>
        <s v="TCK1132"/>
        <s v="TCK1133"/>
        <s v="TCK1134"/>
        <s v="TCK1135"/>
        <s v="TCK1136"/>
        <s v="TCK1137"/>
        <s v="TCK1138"/>
        <s v="TCK1139"/>
        <s v="TCK1140"/>
        <s v="TCK1141"/>
        <s v="TCK1142"/>
        <s v="TCK1143"/>
        <s v="TCK1144"/>
        <s v="TCK1145"/>
        <s v="TCK1146"/>
        <s v="TCK1147"/>
        <s v="TCK1148"/>
        <s v="TCK1149"/>
        <s v="TCK1150"/>
      </sharedItems>
    </cacheField>
    <cacheField name="Customer_ID" numFmtId="0">
      <sharedItems/>
    </cacheField>
    <cacheField name="Issue_Type" numFmtId="0">
      <sharedItems count="5">
        <s v="Charges"/>
        <s v="KYC"/>
        <s v="Login Issue"/>
        <s v="Disbursement Delay"/>
        <s v="EMI Issue"/>
      </sharedItems>
    </cacheField>
    <cacheField name="Priority" numFmtId="0">
      <sharedItems/>
    </cacheField>
    <cacheField name="SLA_Hours" numFmtId="0">
      <sharedItems containsSemiMixedTypes="0" containsString="0" containsNumber="1" containsInteger="1" minValue="24" maxValue="72"/>
    </cacheField>
    <cacheField name="Ticket_Open_Date" numFmtId="164">
      <sharedItems containsSemiMixedTypes="0" containsNonDate="0" containsDate="1" containsString="0" minDate="2026-01-01T11:00:00" maxDate="2026-01-13T20:00:00"/>
    </cacheField>
    <cacheField name="Ticket_Close_Date" numFmtId="164">
      <sharedItems containsDate="1" containsMixedTypes="1" minDate="2026-01-02T05:00:00" maxDate="2026-01-16T09:00:00"/>
    </cacheField>
    <cacheField name="Status" numFmtId="0">
      <sharedItems/>
    </cacheField>
    <cacheField name="Agent_Name" numFmtId="0">
      <sharedItems count="5">
        <s v="Karan"/>
        <s v="Amit"/>
        <s v="Rahul"/>
        <s v="Sneha"/>
        <s v="Priya"/>
      </sharedItems>
    </cacheField>
    <cacheField name="Resolution_Time_Hours" numFmtId="1">
      <sharedItems containsMixedTypes="1" containsNumber="1" minValue="4.9999999998835847" maxValue="80.000000000058208"/>
    </cacheField>
    <cacheField name="SLA_Breac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Nag" refreshedDate="46056.995753587966" createdVersion="8" refreshedVersion="8" minRefreshableVersion="3" recordCount="150" xr:uid="{F8B198A4-6581-4D04-B3C7-7DB374276C6D}">
  <cacheSource type="worksheet">
    <worksheetSource name="Table1[Priority]"/>
  </cacheSource>
  <cacheFields count="1">
    <cacheField name="Priority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CUST068"/>
    <x v="0"/>
    <s v="Low"/>
    <n v="72"/>
    <d v="2026-01-03T17:00:00"/>
    <d v="2026-01-04T06:00:00"/>
    <s v="Closed"/>
    <x v="0"/>
    <n v="12.999999999941792"/>
    <s v="No"/>
  </r>
  <r>
    <x v="1"/>
    <s v="CUST033"/>
    <x v="1"/>
    <s v="High"/>
    <n v="24"/>
    <d v="2026-01-11T03:00:00"/>
    <d v="2026-01-12T15:00:00"/>
    <s v="Closed"/>
    <x v="1"/>
    <n v="36"/>
    <s v="Yes"/>
  </r>
  <r>
    <x v="2"/>
    <s v="CUST060"/>
    <x v="2"/>
    <s v="Low"/>
    <n v="72"/>
    <d v="2026-01-07T15:00:00"/>
    <d v="2026-01-10T18:00:00"/>
    <s v="Closed"/>
    <x v="2"/>
    <n v="75"/>
    <s v="Yes"/>
  </r>
  <r>
    <x v="3"/>
    <s v="CUST074"/>
    <x v="1"/>
    <s v="High"/>
    <n v="24"/>
    <d v="2026-01-05T00:00:00"/>
    <d v="2026-01-07T08:00:00"/>
    <s v="Closed"/>
    <x v="0"/>
    <n v="56.000000000058208"/>
    <s v="Yes"/>
  </r>
  <r>
    <x v="4"/>
    <s v="CUST026"/>
    <x v="2"/>
    <s v="Medium"/>
    <n v="48"/>
    <d v="2026-01-04T10:00:00"/>
    <d v="2026-01-05T09:00:00"/>
    <s v="Closed"/>
    <x v="1"/>
    <n v="23.000000000058208"/>
    <s v="No"/>
  </r>
  <r>
    <x v="5"/>
    <s v="CUST036"/>
    <x v="1"/>
    <s v="Medium"/>
    <n v="48"/>
    <d v="2026-01-12T19:00:00"/>
    <d v="2026-01-15T21:00:00"/>
    <s v="Closed"/>
    <x v="0"/>
    <n v="74.000000000058208"/>
    <s v="Yes"/>
  </r>
  <r>
    <x v="6"/>
    <s v="CUST006"/>
    <x v="2"/>
    <s v="Low"/>
    <n v="72"/>
    <d v="2026-01-02T00:00:00"/>
    <s v="null"/>
    <s v="Open"/>
    <x v="3"/>
    <s v="null"/>
    <s v="null"/>
  </r>
  <r>
    <x v="7"/>
    <s v="CUST020"/>
    <x v="2"/>
    <s v="Medium"/>
    <n v="48"/>
    <d v="2026-01-10T18:00:00"/>
    <s v="null"/>
    <s v="Open"/>
    <x v="1"/>
    <s v="null"/>
    <s v="null"/>
  </r>
  <r>
    <x v="8"/>
    <s v="CUST055"/>
    <x v="1"/>
    <s v="Low"/>
    <n v="72"/>
    <d v="2026-01-06T08:00:00"/>
    <s v="null"/>
    <s v="Open"/>
    <x v="1"/>
    <s v="null"/>
    <s v="null"/>
  </r>
  <r>
    <x v="9"/>
    <s v="CUST064"/>
    <x v="3"/>
    <s v="Low"/>
    <n v="72"/>
    <d v="2026-01-03T08:00:00"/>
    <d v="2026-01-06T03:00:00"/>
    <s v="Closed"/>
    <x v="1"/>
    <n v="66.999999999941792"/>
    <s v="No"/>
  </r>
  <r>
    <x v="10"/>
    <s v="CUST009"/>
    <x v="3"/>
    <s v="Low"/>
    <n v="72"/>
    <d v="2026-01-05T04:00:00"/>
    <s v="null"/>
    <s v="Open"/>
    <x v="3"/>
    <s v="null"/>
    <s v="null"/>
  </r>
  <r>
    <x v="11"/>
    <s v="CUST071"/>
    <x v="4"/>
    <s v="Low"/>
    <n v="72"/>
    <d v="2026-01-12T04:00:00"/>
    <d v="2026-01-14T00:00:00"/>
    <s v="Closed"/>
    <x v="4"/>
    <n v="44.000000000058208"/>
    <s v="No"/>
  </r>
  <r>
    <x v="12"/>
    <s v="CUST004"/>
    <x v="4"/>
    <s v="Low"/>
    <n v="72"/>
    <d v="2026-01-06T20:00:00"/>
    <d v="2026-01-08T13:00:00"/>
    <s v="Closed"/>
    <x v="4"/>
    <n v="40.999999999883585"/>
    <s v="No"/>
  </r>
  <r>
    <x v="13"/>
    <s v="CUST038"/>
    <x v="3"/>
    <s v="High"/>
    <n v="24"/>
    <d v="2026-01-12T00:00:00"/>
    <s v="null"/>
    <s v="Open"/>
    <x v="4"/>
    <s v="null"/>
    <s v="null"/>
  </r>
  <r>
    <x v="14"/>
    <s v="CUST003"/>
    <x v="2"/>
    <s v="Low"/>
    <n v="72"/>
    <d v="2026-01-05T21:00:00"/>
    <d v="2026-01-07T22:00:00"/>
    <s v="Closed"/>
    <x v="0"/>
    <n v="48.999999999941792"/>
    <s v="No"/>
  </r>
  <r>
    <x v="15"/>
    <s v="CUST009"/>
    <x v="0"/>
    <s v="Low"/>
    <n v="72"/>
    <d v="2026-01-01T12:00:00"/>
    <s v="null"/>
    <s v="Open"/>
    <x v="1"/>
    <s v="null"/>
    <s v="null"/>
  </r>
  <r>
    <x v="16"/>
    <s v="CUST017"/>
    <x v="1"/>
    <s v="High"/>
    <n v="24"/>
    <d v="2026-01-12T04:00:00"/>
    <d v="2026-01-14T17:00:00"/>
    <s v="Closed"/>
    <x v="0"/>
    <n v="61.000000000116415"/>
    <s v="Yes"/>
  </r>
  <r>
    <x v="17"/>
    <s v="CUST044"/>
    <x v="1"/>
    <s v="Medium"/>
    <n v="48"/>
    <d v="2026-01-06T08:00:00"/>
    <s v="null"/>
    <s v="Open"/>
    <x v="1"/>
    <s v="null"/>
    <s v="null"/>
  </r>
  <r>
    <x v="18"/>
    <s v="CUST057"/>
    <x v="4"/>
    <s v="High"/>
    <n v="24"/>
    <d v="2026-01-13T02:00:00"/>
    <d v="2026-01-16T06:00:00"/>
    <s v="Closed"/>
    <x v="3"/>
    <n v="75.999999999941792"/>
    <s v="Yes"/>
  </r>
  <r>
    <x v="19"/>
    <s v="CUST055"/>
    <x v="4"/>
    <s v="Low"/>
    <n v="72"/>
    <d v="2026-01-05T06:00:00"/>
    <s v="null"/>
    <s v="Open"/>
    <x v="1"/>
    <s v="null"/>
    <s v="null"/>
  </r>
  <r>
    <x v="20"/>
    <s v="CUST080"/>
    <x v="0"/>
    <s v="High"/>
    <n v="24"/>
    <d v="2026-01-06T16:00:00"/>
    <d v="2026-01-08T21:00:00"/>
    <s v="Closed"/>
    <x v="1"/>
    <n v="53.000000000058208"/>
    <s v="Yes"/>
  </r>
  <r>
    <x v="21"/>
    <s v="CUST016"/>
    <x v="0"/>
    <s v="High"/>
    <n v="24"/>
    <d v="2026-01-05T10:00:00"/>
    <d v="2026-01-08T08:00:00"/>
    <s v="Closed"/>
    <x v="0"/>
    <n v="70.000000000116415"/>
    <s v="Yes"/>
  </r>
  <r>
    <x v="22"/>
    <s v="CUST031"/>
    <x v="1"/>
    <s v="Medium"/>
    <n v="48"/>
    <d v="2026-01-05T08:00:00"/>
    <d v="2026-01-07T01:00:00"/>
    <s v="Closed"/>
    <x v="1"/>
    <n v="40.999999999883585"/>
    <s v="No"/>
  </r>
  <r>
    <x v="23"/>
    <s v="CUST001"/>
    <x v="3"/>
    <s v="High"/>
    <n v="24"/>
    <d v="2026-01-03T18:00:00"/>
    <d v="2026-01-06T02:00:00"/>
    <s v="Closed"/>
    <x v="2"/>
    <n v="56.000000000058208"/>
    <s v="Yes"/>
  </r>
  <r>
    <x v="24"/>
    <s v="CUST036"/>
    <x v="4"/>
    <s v="Low"/>
    <n v="72"/>
    <d v="2026-01-13T03:00:00"/>
    <s v="null"/>
    <s v="Open"/>
    <x v="0"/>
    <s v="null"/>
    <s v="null"/>
  </r>
  <r>
    <x v="25"/>
    <s v="CUST010"/>
    <x v="3"/>
    <s v="Medium"/>
    <n v="48"/>
    <d v="2026-01-11T01:00:00"/>
    <d v="2026-01-13T03:00:00"/>
    <s v="Closed"/>
    <x v="1"/>
    <n v="50.000000000058208"/>
    <s v="Yes"/>
  </r>
  <r>
    <x v="26"/>
    <s v="CUST015"/>
    <x v="0"/>
    <s v="High"/>
    <n v="24"/>
    <d v="2026-01-04T04:00:00"/>
    <d v="2026-01-05T17:00:00"/>
    <s v="Closed"/>
    <x v="2"/>
    <n v="37.000000000116415"/>
    <s v="Yes"/>
  </r>
  <r>
    <x v="27"/>
    <s v="CUST053"/>
    <x v="3"/>
    <s v="Medium"/>
    <n v="48"/>
    <d v="2026-01-04T09:00:00"/>
    <s v="null"/>
    <s v="Open"/>
    <x v="1"/>
    <s v="null"/>
    <s v="null"/>
  </r>
  <r>
    <x v="28"/>
    <s v="CUST027"/>
    <x v="0"/>
    <s v="Low"/>
    <n v="72"/>
    <d v="2026-01-04T02:00:00"/>
    <d v="2026-01-05T17:00:00"/>
    <s v="Closed"/>
    <x v="1"/>
    <n v="39"/>
    <s v="No"/>
  </r>
  <r>
    <x v="29"/>
    <s v="CUST067"/>
    <x v="2"/>
    <s v="Medium"/>
    <n v="48"/>
    <d v="2026-01-02T02:00:00"/>
    <s v="null"/>
    <s v="Open"/>
    <x v="2"/>
    <s v="null"/>
    <s v="null"/>
  </r>
  <r>
    <x v="30"/>
    <s v="CUST032"/>
    <x v="4"/>
    <s v="Medium"/>
    <n v="48"/>
    <d v="2026-01-11T02:00:00"/>
    <d v="2026-01-13T09:00:00"/>
    <s v="Closed"/>
    <x v="2"/>
    <n v="54.999999999941792"/>
    <s v="Yes"/>
  </r>
  <r>
    <x v="31"/>
    <s v="CUST013"/>
    <x v="4"/>
    <s v="Medium"/>
    <n v="48"/>
    <d v="2026-01-06T03:00:00"/>
    <s v="null"/>
    <s v="Open"/>
    <x v="0"/>
    <s v="null"/>
    <s v="null"/>
  </r>
  <r>
    <x v="32"/>
    <s v="CUST035"/>
    <x v="2"/>
    <s v="High"/>
    <n v="24"/>
    <d v="2026-01-10T14:00:00"/>
    <s v="null"/>
    <s v="Open"/>
    <x v="3"/>
    <s v="null"/>
    <s v="null"/>
  </r>
  <r>
    <x v="33"/>
    <s v="CUST025"/>
    <x v="3"/>
    <s v="High"/>
    <n v="24"/>
    <d v="2026-01-10T06:00:00"/>
    <s v="null"/>
    <s v="Open"/>
    <x v="3"/>
    <s v="null"/>
    <s v="null"/>
  </r>
  <r>
    <x v="34"/>
    <s v="CUST045"/>
    <x v="3"/>
    <s v="Low"/>
    <n v="72"/>
    <d v="2026-01-02T21:00:00"/>
    <d v="2026-01-03T17:00:00"/>
    <s v="Closed"/>
    <x v="3"/>
    <n v="20.000000000058208"/>
    <s v="No"/>
  </r>
  <r>
    <x v="35"/>
    <s v="CUST039"/>
    <x v="3"/>
    <s v="High"/>
    <n v="24"/>
    <d v="2026-01-08T04:00:00"/>
    <s v="null"/>
    <s v="Open"/>
    <x v="2"/>
    <s v="null"/>
    <s v="null"/>
  </r>
  <r>
    <x v="36"/>
    <s v="CUST002"/>
    <x v="0"/>
    <s v="Medium"/>
    <n v="48"/>
    <d v="2026-01-10T00:00:00"/>
    <d v="2026-01-12T05:00:00"/>
    <s v="Closed"/>
    <x v="4"/>
    <n v="53.000000000058208"/>
    <s v="Yes"/>
  </r>
  <r>
    <x v="37"/>
    <s v="CUST079"/>
    <x v="1"/>
    <s v="Low"/>
    <n v="72"/>
    <d v="2026-01-08T08:00:00"/>
    <d v="2026-01-10T12:00:00"/>
    <s v="Closed"/>
    <x v="1"/>
    <n v="51.999999999941792"/>
    <s v="No"/>
  </r>
  <r>
    <x v="38"/>
    <s v="CUST035"/>
    <x v="4"/>
    <s v="Low"/>
    <n v="72"/>
    <d v="2026-01-02T08:00:00"/>
    <d v="2026-01-04T17:00:00"/>
    <s v="Closed"/>
    <x v="4"/>
    <n v="57"/>
    <s v="No"/>
  </r>
  <r>
    <x v="39"/>
    <s v="CUST050"/>
    <x v="4"/>
    <s v="High"/>
    <n v="24"/>
    <d v="2026-01-04T19:00:00"/>
    <s v="null"/>
    <s v="Open"/>
    <x v="2"/>
    <s v="null"/>
    <s v="null"/>
  </r>
  <r>
    <x v="40"/>
    <s v="CUST049"/>
    <x v="2"/>
    <s v="Low"/>
    <n v="72"/>
    <d v="2026-01-01T11:00:00"/>
    <s v="null"/>
    <s v="Open"/>
    <x v="2"/>
    <s v="null"/>
    <s v="null"/>
  </r>
  <r>
    <x v="41"/>
    <s v="CUST061"/>
    <x v="3"/>
    <s v="Medium"/>
    <n v="48"/>
    <d v="2026-01-13T16:00:00"/>
    <d v="2026-01-16T03:00:00"/>
    <s v="Closed"/>
    <x v="1"/>
    <n v="59.000000000058208"/>
    <s v="Yes"/>
  </r>
  <r>
    <x v="42"/>
    <s v="CUST063"/>
    <x v="4"/>
    <s v="High"/>
    <n v="24"/>
    <d v="2026-01-10T04:00:00"/>
    <d v="2026-01-10T20:00:00"/>
    <s v="Closed"/>
    <x v="2"/>
    <n v="16.000000000116415"/>
    <s v="No"/>
  </r>
  <r>
    <x v="43"/>
    <s v="CUST076"/>
    <x v="1"/>
    <s v="Low"/>
    <n v="72"/>
    <d v="2026-01-02T07:00:00"/>
    <d v="2026-01-04T23:00:00"/>
    <s v="Closed"/>
    <x v="4"/>
    <n v="64.000000000116415"/>
    <s v="No"/>
  </r>
  <r>
    <x v="44"/>
    <s v="CUST048"/>
    <x v="4"/>
    <s v="High"/>
    <n v="24"/>
    <d v="2026-01-09T18:00:00"/>
    <s v="null"/>
    <s v="Open"/>
    <x v="1"/>
    <s v="null"/>
    <s v="null"/>
  </r>
  <r>
    <x v="45"/>
    <s v="CUST060"/>
    <x v="0"/>
    <s v="Medium"/>
    <n v="48"/>
    <d v="2026-01-03T02:00:00"/>
    <s v="null"/>
    <s v="Open"/>
    <x v="3"/>
    <s v="null"/>
    <s v="null"/>
  </r>
  <r>
    <x v="46"/>
    <s v="CUST075"/>
    <x v="3"/>
    <s v="High"/>
    <n v="24"/>
    <d v="2026-01-10T11:00:00"/>
    <d v="2026-01-12T22:00:00"/>
    <s v="Closed"/>
    <x v="1"/>
    <n v="58.999999999883585"/>
    <s v="Yes"/>
  </r>
  <r>
    <x v="47"/>
    <s v="CUST041"/>
    <x v="1"/>
    <s v="Low"/>
    <n v="72"/>
    <d v="2026-01-04T21:00:00"/>
    <d v="2026-01-05T08:00:00"/>
    <s v="Closed"/>
    <x v="2"/>
    <n v="11.000000000058208"/>
    <s v="No"/>
  </r>
  <r>
    <x v="48"/>
    <s v="CUST044"/>
    <x v="1"/>
    <s v="Low"/>
    <n v="72"/>
    <d v="2026-01-08T05:00:00"/>
    <d v="2026-01-09T01:00:00"/>
    <s v="Closed"/>
    <x v="1"/>
    <n v="19.999999999883585"/>
    <s v="No"/>
  </r>
  <r>
    <x v="49"/>
    <s v="CUST023"/>
    <x v="0"/>
    <s v="High"/>
    <n v="24"/>
    <d v="2026-01-06T20:00:00"/>
    <d v="2026-01-07T13:00:00"/>
    <s v="Closed"/>
    <x v="3"/>
    <n v="16.999999999883585"/>
    <s v="No"/>
  </r>
  <r>
    <x v="50"/>
    <s v="CUST001"/>
    <x v="1"/>
    <s v="Medium"/>
    <n v="48"/>
    <d v="2026-01-06T09:00:00"/>
    <d v="2026-01-08T05:00:00"/>
    <s v="Closed"/>
    <x v="0"/>
    <n v="44.000000000058208"/>
    <s v="No"/>
  </r>
  <r>
    <x v="51"/>
    <s v="CUST014"/>
    <x v="2"/>
    <s v="Low"/>
    <n v="72"/>
    <d v="2026-01-04T19:00:00"/>
    <d v="2026-01-06T04:00:00"/>
    <s v="Closed"/>
    <x v="2"/>
    <n v="33"/>
    <s v="No"/>
  </r>
  <r>
    <x v="52"/>
    <s v="CUST005"/>
    <x v="1"/>
    <s v="Low"/>
    <n v="72"/>
    <d v="2026-01-03T05:00:00"/>
    <s v="null"/>
    <s v="Open"/>
    <x v="4"/>
    <s v="null"/>
    <s v="null"/>
  </r>
  <r>
    <x v="53"/>
    <s v="CUST031"/>
    <x v="2"/>
    <s v="Low"/>
    <n v="72"/>
    <d v="2026-01-08T03:00:00"/>
    <d v="2026-01-11T03:00:00"/>
    <s v="Closed"/>
    <x v="0"/>
    <n v="72"/>
    <s v="No"/>
  </r>
  <r>
    <x v="54"/>
    <s v="CUST013"/>
    <x v="3"/>
    <s v="Low"/>
    <n v="72"/>
    <d v="2026-01-05T01:00:00"/>
    <s v="null"/>
    <s v="Open"/>
    <x v="1"/>
    <s v="null"/>
    <s v="null"/>
  </r>
  <r>
    <x v="55"/>
    <s v="CUST029"/>
    <x v="3"/>
    <s v="Low"/>
    <n v="72"/>
    <d v="2026-01-10T21:00:00"/>
    <d v="2026-01-12T04:00:00"/>
    <s v="Closed"/>
    <x v="0"/>
    <n v="30.999999999941792"/>
    <s v="No"/>
  </r>
  <r>
    <x v="56"/>
    <s v="CUST051"/>
    <x v="4"/>
    <s v="Low"/>
    <n v="72"/>
    <d v="2026-01-08T04:00:00"/>
    <d v="2026-01-11T08:00:00"/>
    <s v="Closed"/>
    <x v="2"/>
    <n v="76.000000000116415"/>
    <s v="Yes"/>
  </r>
  <r>
    <x v="57"/>
    <s v="CUST048"/>
    <x v="3"/>
    <s v="High"/>
    <n v="24"/>
    <d v="2026-01-11T10:00:00"/>
    <s v="null"/>
    <s v="Open"/>
    <x v="2"/>
    <s v="null"/>
    <s v="null"/>
  </r>
  <r>
    <x v="58"/>
    <s v="CUST022"/>
    <x v="4"/>
    <s v="High"/>
    <n v="24"/>
    <d v="2026-01-05T11:00:00"/>
    <d v="2026-01-06T15:00:00"/>
    <s v="Closed"/>
    <x v="0"/>
    <n v="27.999999999941792"/>
    <s v="Yes"/>
  </r>
  <r>
    <x v="59"/>
    <s v="CUST007"/>
    <x v="4"/>
    <s v="High"/>
    <n v="24"/>
    <d v="2026-01-04T22:00:00"/>
    <s v="null"/>
    <s v="Open"/>
    <x v="0"/>
    <s v="null"/>
    <s v="null"/>
  </r>
  <r>
    <x v="60"/>
    <s v="CUST031"/>
    <x v="0"/>
    <s v="High"/>
    <n v="24"/>
    <d v="2026-01-07T08:00:00"/>
    <s v="null"/>
    <s v="Open"/>
    <x v="0"/>
    <s v="null"/>
    <s v="null"/>
  </r>
  <r>
    <x v="61"/>
    <s v="CUST069"/>
    <x v="0"/>
    <s v="High"/>
    <n v="24"/>
    <d v="2026-01-12T09:00:00"/>
    <d v="2026-01-12T22:00:00"/>
    <s v="Closed"/>
    <x v="2"/>
    <n v="12.999999999941792"/>
    <s v="No"/>
  </r>
  <r>
    <x v="62"/>
    <s v="CUST073"/>
    <x v="2"/>
    <s v="Medium"/>
    <n v="48"/>
    <d v="2026-01-04T13:00:00"/>
    <s v="null"/>
    <s v="Open"/>
    <x v="4"/>
    <s v="null"/>
    <s v="null"/>
  </r>
  <r>
    <x v="63"/>
    <s v="CUST062"/>
    <x v="4"/>
    <s v="High"/>
    <n v="24"/>
    <d v="2026-01-13T08:00:00"/>
    <s v="null"/>
    <s v="Open"/>
    <x v="4"/>
    <s v="null"/>
    <s v="null"/>
  </r>
  <r>
    <x v="64"/>
    <s v="CUST075"/>
    <x v="4"/>
    <s v="Low"/>
    <n v="72"/>
    <d v="2026-01-09T07:00:00"/>
    <s v="null"/>
    <s v="Open"/>
    <x v="1"/>
    <s v="null"/>
    <s v="null"/>
  </r>
  <r>
    <x v="65"/>
    <s v="CUST054"/>
    <x v="2"/>
    <s v="High"/>
    <n v="24"/>
    <d v="2026-01-12T00:00:00"/>
    <d v="2026-01-15T04:00:00"/>
    <s v="Closed"/>
    <x v="2"/>
    <n v="75.999999999941792"/>
    <s v="Yes"/>
  </r>
  <r>
    <x v="66"/>
    <s v="CUST043"/>
    <x v="3"/>
    <s v="High"/>
    <n v="24"/>
    <d v="2026-01-08T15:00:00"/>
    <s v="null"/>
    <s v="Open"/>
    <x v="4"/>
    <s v="null"/>
    <s v="null"/>
  </r>
  <r>
    <x v="67"/>
    <s v="CUST033"/>
    <x v="0"/>
    <s v="High"/>
    <n v="24"/>
    <d v="2026-01-09T17:00:00"/>
    <d v="2026-01-11T11:00:00"/>
    <s v="Closed"/>
    <x v="2"/>
    <n v="42"/>
    <s v="Yes"/>
  </r>
  <r>
    <x v="68"/>
    <s v="CUST017"/>
    <x v="3"/>
    <s v="High"/>
    <n v="24"/>
    <d v="2026-01-06T00:00:00"/>
    <d v="2026-01-07T17:00:00"/>
    <s v="Closed"/>
    <x v="1"/>
    <n v="41.000000000058208"/>
    <s v="Yes"/>
  </r>
  <r>
    <x v="69"/>
    <s v="CUST074"/>
    <x v="4"/>
    <s v="Medium"/>
    <n v="48"/>
    <d v="2026-01-05T02:00:00"/>
    <d v="2026-01-06T23:00:00"/>
    <s v="Closed"/>
    <x v="0"/>
    <n v="45"/>
    <s v="No"/>
  </r>
  <r>
    <x v="70"/>
    <s v="CUST001"/>
    <x v="2"/>
    <s v="Low"/>
    <n v="72"/>
    <d v="2026-01-02T06:00:00"/>
    <d v="2026-01-03T00:00:00"/>
    <s v="Closed"/>
    <x v="3"/>
    <n v="18"/>
    <s v="No"/>
  </r>
  <r>
    <x v="71"/>
    <s v="CUST076"/>
    <x v="3"/>
    <s v="Low"/>
    <n v="72"/>
    <d v="2026-01-08T05:00:00"/>
    <d v="2026-01-08T17:00:00"/>
    <s v="Closed"/>
    <x v="0"/>
    <n v="12"/>
    <s v="No"/>
  </r>
  <r>
    <x v="72"/>
    <s v="CUST038"/>
    <x v="0"/>
    <s v="Medium"/>
    <n v="48"/>
    <d v="2026-01-12T22:00:00"/>
    <s v="null"/>
    <s v="Open"/>
    <x v="2"/>
    <s v="null"/>
    <s v="null"/>
  </r>
  <r>
    <x v="73"/>
    <s v="CUST075"/>
    <x v="2"/>
    <s v="Medium"/>
    <n v="48"/>
    <d v="2026-01-06T04:00:00"/>
    <s v="null"/>
    <s v="Open"/>
    <x v="1"/>
    <s v="null"/>
    <s v="null"/>
  </r>
  <r>
    <x v="74"/>
    <s v="CUST037"/>
    <x v="4"/>
    <s v="High"/>
    <n v="24"/>
    <d v="2026-01-10T02:00:00"/>
    <s v="null"/>
    <s v="Open"/>
    <x v="1"/>
    <s v="null"/>
    <s v="null"/>
  </r>
  <r>
    <x v="75"/>
    <s v="CUST062"/>
    <x v="4"/>
    <s v="High"/>
    <n v="24"/>
    <d v="2026-01-11T23:00:00"/>
    <d v="2026-01-14T01:00:00"/>
    <s v="Closed"/>
    <x v="0"/>
    <n v="49.999999999883585"/>
    <s v="Yes"/>
  </r>
  <r>
    <x v="76"/>
    <s v="CUST050"/>
    <x v="1"/>
    <s v="High"/>
    <n v="24"/>
    <d v="2026-01-01T22:00:00"/>
    <s v="null"/>
    <s v="Open"/>
    <x v="1"/>
    <s v="null"/>
    <s v="null"/>
  </r>
  <r>
    <x v="77"/>
    <s v="CUST042"/>
    <x v="2"/>
    <s v="Medium"/>
    <n v="48"/>
    <d v="2026-01-09T17:00:00"/>
    <s v="null"/>
    <s v="Open"/>
    <x v="3"/>
    <s v="null"/>
    <s v="null"/>
  </r>
  <r>
    <x v="78"/>
    <s v="CUST072"/>
    <x v="3"/>
    <s v="Medium"/>
    <n v="48"/>
    <d v="2026-01-07T07:00:00"/>
    <s v="null"/>
    <s v="Open"/>
    <x v="3"/>
    <s v="null"/>
    <s v="null"/>
  </r>
  <r>
    <x v="79"/>
    <s v="CUST076"/>
    <x v="1"/>
    <s v="Medium"/>
    <n v="48"/>
    <d v="2026-01-04T15:00:00"/>
    <s v="null"/>
    <s v="Open"/>
    <x v="2"/>
    <s v="null"/>
    <s v="null"/>
  </r>
  <r>
    <x v="80"/>
    <s v="CUST015"/>
    <x v="3"/>
    <s v="Medium"/>
    <n v="48"/>
    <d v="2026-01-08T02:00:00"/>
    <d v="2026-01-08T18:00:00"/>
    <s v="Closed"/>
    <x v="4"/>
    <n v="15.999999999941792"/>
    <s v="No"/>
  </r>
  <r>
    <x v="81"/>
    <s v="CUST013"/>
    <x v="3"/>
    <s v="Medium"/>
    <n v="48"/>
    <d v="2026-01-02T10:00:00"/>
    <s v="null"/>
    <s v="Open"/>
    <x v="2"/>
    <s v="null"/>
    <s v="null"/>
  </r>
  <r>
    <x v="82"/>
    <s v="CUST033"/>
    <x v="1"/>
    <s v="Low"/>
    <n v="72"/>
    <d v="2026-01-07T18:00:00"/>
    <d v="2026-01-09T09:00:00"/>
    <s v="Closed"/>
    <x v="4"/>
    <n v="39"/>
    <s v="No"/>
  </r>
  <r>
    <x v="83"/>
    <s v="CUST018"/>
    <x v="2"/>
    <s v="Low"/>
    <n v="72"/>
    <d v="2026-01-04T22:00:00"/>
    <s v="null"/>
    <s v="Open"/>
    <x v="0"/>
    <s v="null"/>
    <s v="null"/>
  </r>
  <r>
    <x v="84"/>
    <s v="CUST062"/>
    <x v="0"/>
    <s v="Medium"/>
    <n v="48"/>
    <d v="2026-01-05T14:00:00"/>
    <s v="null"/>
    <s v="Open"/>
    <x v="3"/>
    <s v="null"/>
    <s v="null"/>
  </r>
  <r>
    <x v="85"/>
    <s v="CUST060"/>
    <x v="4"/>
    <s v="Low"/>
    <n v="72"/>
    <d v="2026-01-03T03:00:00"/>
    <s v="null"/>
    <s v="Open"/>
    <x v="1"/>
    <s v="null"/>
    <s v="null"/>
  </r>
  <r>
    <x v="86"/>
    <s v="CUST003"/>
    <x v="4"/>
    <s v="High"/>
    <n v="24"/>
    <d v="2026-01-06T23:00:00"/>
    <d v="2026-01-07T06:00:00"/>
    <s v="Closed"/>
    <x v="4"/>
    <n v="6.9999999999417923"/>
    <s v="No"/>
  </r>
  <r>
    <x v="87"/>
    <s v="CUST046"/>
    <x v="1"/>
    <s v="Medium"/>
    <n v="48"/>
    <d v="2026-01-02T15:00:00"/>
    <d v="2026-01-03T18:00:00"/>
    <s v="Closed"/>
    <x v="1"/>
    <n v="27"/>
    <s v="No"/>
  </r>
  <r>
    <x v="88"/>
    <s v="CUST058"/>
    <x v="2"/>
    <s v="Low"/>
    <n v="72"/>
    <d v="2026-01-13T18:00:00"/>
    <d v="2026-01-16T09:00:00"/>
    <s v="Closed"/>
    <x v="3"/>
    <n v="63"/>
    <s v="No"/>
  </r>
  <r>
    <x v="89"/>
    <s v="CUST051"/>
    <x v="3"/>
    <s v="Low"/>
    <n v="72"/>
    <d v="2026-01-13T03:00:00"/>
    <d v="2026-01-13T14:00:00"/>
    <s v="Closed"/>
    <x v="4"/>
    <n v="11.000000000058208"/>
    <s v="No"/>
  </r>
  <r>
    <x v="90"/>
    <s v="CUST043"/>
    <x v="0"/>
    <s v="Low"/>
    <n v="72"/>
    <d v="2026-01-03T13:00:00"/>
    <d v="2026-01-06T11:00:00"/>
    <s v="Closed"/>
    <x v="3"/>
    <n v="70.000000000116415"/>
    <s v="No"/>
  </r>
  <r>
    <x v="91"/>
    <s v="CUST018"/>
    <x v="0"/>
    <s v="Medium"/>
    <n v="48"/>
    <d v="2026-01-06T04:00:00"/>
    <d v="2026-01-07T01:00:00"/>
    <s v="Closed"/>
    <x v="3"/>
    <n v="21"/>
    <s v="No"/>
  </r>
  <r>
    <x v="92"/>
    <s v="CUST003"/>
    <x v="1"/>
    <s v="Low"/>
    <n v="72"/>
    <d v="2026-01-10T03:00:00"/>
    <s v="null"/>
    <s v="Open"/>
    <x v="2"/>
    <s v="null"/>
    <s v="null"/>
  </r>
  <r>
    <x v="93"/>
    <s v="CUST029"/>
    <x v="4"/>
    <s v="Low"/>
    <n v="72"/>
    <d v="2026-01-01T15:00:00"/>
    <d v="2026-01-03T01:00:00"/>
    <s v="Closed"/>
    <x v="3"/>
    <n v="33.999999999941792"/>
    <s v="No"/>
  </r>
  <r>
    <x v="94"/>
    <s v="CUST017"/>
    <x v="2"/>
    <s v="Low"/>
    <n v="72"/>
    <d v="2026-01-09T09:00:00"/>
    <d v="2026-01-11T06:00:00"/>
    <s v="Closed"/>
    <x v="0"/>
    <n v="45"/>
    <s v="No"/>
  </r>
  <r>
    <x v="95"/>
    <s v="CUST017"/>
    <x v="3"/>
    <s v="Low"/>
    <n v="72"/>
    <d v="2026-01-12T09:00:00"/>
    <s v="null"/>
    <s v="Open"/>
    <x v="0"/>
    <s v="null"/>
    <s v="null"/>
  </r>
  <r>
    <x v="96"/>
    <s v="CUST004"/>
    <x v="0"/>
    <s v="Low"/>
    <n v="72"/>
    <d v="2026-01-12T16:00:00"/>
    <s v="null"/>
    <s v="Open"/>
    <x v="3"/>
    <s v="null"/>
    <s v="null"/>
  </r>
  <r>
    <x v="97"/>
    <s v="CUST022"/>
    <x v="3"/>
    <s v="Low"/>
    <n v="72"/>
    <d v="2026-01-02T22:00:00"/>
    <d v="2026-01-03T05:00:00"/>
    <s v="Closed"/>
    <x v="4"/>
    <n v="7.0000000001164153"/>
    <s v="No"/>
  </r>
  <r>
    <x v="98"/>
    <s v="CUST029"/>
    <x v="0"/>
    <s v="Low"/>
    <n v="72"/>
    <d v="2026-01-07T08:00:00"/>
    <d v="2026-01-07T13:00:00"/>
    <s v="Closed"/>
    <x v="3"/>
    <n v="4.9999999998835847"/>
    <s v="No"/>
  </r>
  <r>
    <x v="99"/>
    <s v="CUST037"/>
    <x v="1"/>
    <s v="High"/>
    <n v="24"/>
    <d v="2026-01-06T17:00:00"/>
    <d v="2026-01-07T19:00:00"/>
    <s v="Closed"/>
    <x v="3"/>
    <n v="25.999999999883585"/>
    <s v="Yes"/>
  </r>
  <r>
    <x v="100"/>
    <s v="CUST074"/>
    <x v="1"/>
    <s v="Medium"/>
    <n v="48"/>
    <d v="2026-01-10T13:00:00"/>
    <d v="2026-01-12T17:00:00"/>
    <s v="Closed"/>
    <x v="2"/>
    <n v="52.000000000116415"/>
    <s v="Yes"/>
  </r>
  <r>
    <x v="101"/>
    <s v="CUST069"/>
    <x v="0"/>
    <s v="High"/>
    <n v="24"/>
    <d v="2026-01-03T06:00:00"/>
    <s v="null"/>
    <s v="Open"/>
    <x v="4"/>
    <s v="null"/>
    <s v="null"/>
  </r>
  <r>
    <x v="102"/>
    <s v="CUST080"/>
    <x v="0"/>
    <s v="Medium"/>
    <n v="48"/>
    <d v="2026-01-03T08:00:00"/>
    <s v="null"/>
    <s v="Open"/>
    <x v="0"/>
    <s v="null"/>
    <s v="null"/>
  </r>
  <r>
    <x v="103"/>
    <s v="CUST074"/>
    <x v="1"/>
    <s v="Low"/>
    <n v="72"/>
    <d v="2026-01-08T08:00:00"/>
    <d v="2026-01-11T08:00:00"/>
    <s v="Closed"/>
    <x v="3"/>
    <n v="72"/>
    <s v="No"/>
  </r>
  <r>
    <x v="104"/>
    <s v="CUST042"/>
    <x v="0"/>
    <s v="Low"/>
    <n v="72"/>
    <d v="2026-01-02T00:00:00"/>
    <d v="2026-01-04T18:00:00"/>
    <s v="Closed"/>
    <x v="1"/>
    <n v="66"/>
    <s v="No"/>
  </r>
  <r>
    <x v="105"/>
    <s v="CUST039"/>
    <x v="0"/>
    <s v="Low"/>
    <n v="72"/>
    <d v="2026-01-05T15:00:00"/>
    <s v="null"/>
    <s v="Open"/>
    <x v="4"/>
    <s v="null"/>
    <s v="null"/>
  </r>
  <r>
    <x v="106"/>
    <s v="CUST008"/>
    <x v="2"/>
    <s v="Medium"/>
    <n v="48"/>
    <d v="2026-01-04T17:00:00"/>
    <d v="2026-01-04T23:00:00"/>
    <s v="Closed"/>
    <x v="2"/>
    <n v="6"/>
    <s v="No"/>
  </r>
  <r>
    <x v="107"/>
    <s v="CUST045"/>
    <x v="1"/>
    <s v="Low"/>
    <n v="72"/>
    <d v="2026-01-08T04:00:00"/>
    <s v="null"/>
    <s v="Open"/>
    <x v="1"/>
    <s v="null"/>
    <s v="null"/>
  </r>
  <r>
    <x v="108"/>
    <s v="CUST037"/>
    <x v="4"/>
    <s v="Low"/>
    <n v="72"/>
    <d v="2026-01-10T00:00:00"/>
    <d v="2026-01-12T01:00:00"/>
    <s v="Closed"/>
    <x v="2"/>
    <n v="48.999999999941792"/>
    <s v="No"/>
  </r>
  <r>
    <x v="109"/>
    <s v="CUST007"/>
    <x v="0"/>
    <s v="Medium"/>
    <n v="48"/>
    <d v="2026-01-09T09:00:00"/>
    <d v="2026-01-10T11:00:00"/>
    <s v="Closed"/>
    <x v="0"/>
    <n v="26.000000000058208"/>
    <s v="No"/>
  </r>
  <r>
    <x v="110"/>
    <s v="CUST026"/>
    <x v="1"/>
    <s v="High"/>
    <n v="24"/>
    <d v="2026-01-06T04:00:00"/>
    <s v="null"/>
    <s v="Open"/>
    <x v="0"/>
    <s v="null"/>
    <s v="null"/>
  </r>
  <r>
    <x v="111"/>
    <s v="CUST056"/>
    <x v="0"/>
    <s v="High"/>
    <n v="24"/>
    <d v="2026-01-10T12:00:00"/>
    <d v="2026-01-10T21:00:00"/>
    <s v="Closed"/>
    <x v="1"/>
    <n v="9"/>
    <s v="No"/>
  </r>
  <r>
    <x v="112"/>
    <s v="CUST078"/>
    <x v="2"/>
    <s v="Low"/>
    <n v="72"/>
    <d v="2026-01-06T22:00:00"/>
    <d v="2026-01-10T06:00:00"/>
    <s v="Closed"/>
    <x v="0"/>
    <n v="80.000000000058208"/>
    <s v="Yes"/>
  </r>
  <r>
    <x v="113"/>
    <s v="CUST007"/>
    <x v="2"/>
    <s v="High"/>
    <n v="24"/>
    <d v="2026-01-10T02:00:00"/>
    <s v="null"/>
    <s v="Open"/>
    <x v="0"/>
    <s v="null"/>
    <s v="null"/>
  </r>
  <r>
    <x v="114"/>
    <s v="CUST075"/>
    <x v="0"/>
    <s v="Low"/>
    <n v="72"/>
    <d v="2026-01-08T08:00:00"/>
    <d v="2026-01-10T00:00:00"/>
    <s v="Closed"/>
    <x v="3"/>
    <n v="39.999999999941792"/>
    <s v="No"/>
  </r>
  <r>
    <x v="115"/>
    <s v="CUST069"/>
    <x v="1"/>
    <s v="High"/>
    <n v="24"/>
    <d v="2026-01-06T03:00:00"/>
    <d v="2026-01-09T03:00:00"/>
    <s v="Closed"/>
    <x v="2"/>
    <n v="72"/>
    <s v="Yes"/>
  </r>
  <r>
    <x v="116"/>
    <s v="CUST020"/>
    <x v="4"/>
    <s v="Low"/>
    <n v="72"/>
    <d v="2026-01-11T15:00:00"/>
    <s v="null"/>
    <s v="Open"/>
    <x v="1"/>
    <s v="null"/>
    <s v="null"/>
  </r>
  <r>
    <x v="117"/>
    <s v="CUST043"/>
    <x v="2"/>
    <s v="High"/>
    <n v="24"/>
    <d v="2026-01-04T21:00:00"/>
    <d v="2026-01-07T20:00:00"/>
    <s v="Closed"/>
    <x v="3"/>
    <n v="71.000000000058208"/>
    <s v="Yes"/>
  </r>
  <r>
    <x v="118"/>
    <s v="CUST001"/>
    <x v="0"/>
    <s v="High"/>
    <n v="24"/>
    <d v="2026-01-04T16:00:00"/>
    <d v="2026-01-07T19:00:00"/>
    <s v="Closed"/>
    <x v="1"/>
    <n v="75"/>
    <s v="Yes"/>
  </r>
  <r>
    <x v="119"/>
    <s v="CUST043"/>
    <x v="0"/>
    <s v="Low"/>
    <n v="72"/>
    <d v="2026-01-04T23:00:00"/>
    <d v="2026-01-05T22:00:00"/>
    <s v="Closed"/>
    <x v="0"/>
    <n v="22.999999999883585"/>
    <s v="No"/>
  </r>
  <r>
    <x v="120"/>
    <s v="CUST026"/>
    <x v="1"/>
    <s v="Medium"/>
    <n v="48"/>
    <d v="2026-01-10T13:00:00"/>
    <s v="null"/>
    <s v="Open"/>
    <x v="4"/>
    <s v="null"/>
    <s v="null"/>
  </r>
  <r>
    <x v="121"/>
    <s v="CUST051"/>
    <x v="3"/>
    <s v="High"/>
    <n v="24"/>
    <d v="2026-01-11T21:00:00"/>
    <d v="2026-01-12T22:00:00"/>
    <s v="Closed"/>
    <x v="3"/>
    <n v="24.999999999941792"/>
    <s v="Yes"/>
  </r>
  <r>
    <x v="122"/>
    <s v="CUST028"/>
    <x v="2"/>
    <s v="Low"/>
    <n v="72"/>
    <d v="2026-01-11T23:00:00"/>
    <s v="null"/>
    <s v="Open"/>
    <x v="2"/>
    <s v="null"/>
    <s v="null"/>
  </r>
  <r>
    <x v="123"/>
    <s v="CUST073"/>
    <x v="4"/>
    <s v="High"/>
    <n v="24"/>
    <d v="2026-01-06T22:00:00"/>
    <d v="2026-01-08T18:00:00"/>
    <s v="Closed"/>
    <x v="0"/>
    <n v="44.000000000058208"/>
    <s v="Yes"/>
  </r>
  <r>
    <x v="124"/>
    <s v="CUST049"/>
    <x v="1"/>
    <s v="High"/>
    <n v="24"/>
    <d v="2026-01-05T16:00:00"/>
    <d v="2026-01-06T20:00:00"/>
    <s v="Closed"/>
    <x v="0"/>
    <n v="28.000000000116415"/>
    <s v="Yes"/>
  </r>
  <r>
    <x v="125"/>
    <s v="CUST066"/>
    <x v="2"/>
    <s v="Low"/>
    <n v="72"/>
    <d v="2026-01-13T20:00:00"/>
    <d v="2026-01-15T09:00:00"/>
    <s v="Closed"/>
    <x v="2"/>
    <n v="36.999999999941792"/>
    <s v="No"/>
  </r>
  <r>
    <x v="126"/>
    <s v="CUST045"/>
    <x v="3"/>
    <s v="High"/>
    <n v="24"/>
    <d v="2026-01-04T15:00:00"/>
    <d v="2026-01-05T07:00:00"/>
    <s v="Closed"/>
    <x v="2"/>
    <n v="15.999999999941792"/>
    <s v="No"/>
  </r>
  <r>
    <x v="127"/>
    <s v="CUST064"/>
    <x v="0"/>
    <s v="High"/>
    <n v="24"/>
    <d v="2026-01-11T00:00:00"/>
    <s v="null"/>
    <s v="Open"/>
    <x v="3"/>
    <s v="null"/>
    <s v="null"/>
  </r>
  <r>
    <x v="128"/>
    <s v="CUST008"/>
    <x v="4"/>
    <s v="Low"/>
    <n v="72"/>
    <d v="2026-01-06T10:00:00"/>
    <s v="null"/>
    <s v="Open"/>
    <x v="2"/>
    <s v="null"/>
    <s v="null"/>
  </r>
  <r>
    <x v="129"/>
    <s v="CUST047"/>
    <x v="0"/>
    <s v="High"/>
    <n v="24"/>
    <d v="2026-01-12T18:00:00"/>
    <d v="2026-01-15T17:00:00"/>
    <s v="Closed"/>
    <x v="0"/>
    <n v="71.000000000058208"/>
    <s v="Yes"/>
  </r>
  <r>
    <x v="130"/>
    <s v="CUST057"/>
    <x v="3"/>
    <s v="High"/>
    <n v="24"/>
    <d v="2026-01-10T10:00:00"/>
    <s v="null"/>
    <s v="Open"/>
    <x v="4"/>
    <s v="null"/>
    <s v="null"/>
  </r>
  <r>
    <x v="131"/>
    <s v="CUST079"/>
    <x v="4"/>
    <s v="Medium"/>
    <n v="48"/>
    <d v="2026-01-05T15:00:00"/>
    <d v="2026-01-07T19:00:00"/>
    <s v="Closed"/>
    <x v="0"/>
    <n v="51.999999999941792"/>
    <s v="Yes"/>
  </r>
  <r>
    <x v="132"/>
    <s v="CUST062"/>
    <x v="1"/>
    <s v="Low"/>
    <n v="72"/>
    <d v="2026-01-07T07:00:00"/>
    <s v="null"/>
    <s v="Open"/>
    <x v="0"/>
    <s v="null"/>
    <s v="null"/>
  </r>
  <r>
    <x v="133"/>
    <s v="CUST056"/>
    <x v="2"/>
    <s v="Medium"/>
    <n v="48"/>
    <d v="2026-01-02T04:00:00"/>
    <d v="2026-01-02T09:00:00"/>
    <s v="Closed"/>
    <x v="0"/>
    <n v="5.0000000000582077"/>
    <s v="No"/>
  </r>
  <r>
    <x v="134"/>
    <s v="CUST029"/>
    <x v="0"/>
    <s v="Medium"/>
    <n v="48"/>
    <d v="2026-01-01T13:00:00"/>
    <d v="2026-01-02T05:00:00"/>
    <s v="Closed"/>
    <x v="2"/>
    <n v="16.000000000116415"/>
    <s v="No"/>
  </r>
  <r>
    <x v="135"/>
    <s v="CUST002"/>
    <x v="1"/>
    <s v="Medium"/>
    <n v="48"/>
    <d v="2026-01-03T05:00:00"/>
    <d v="2026-01-03T16:00:00"/>
    <s v="Closed"/>
    <x v="2"/>
    <n v="10.999999999883585"/>
    <s v="No"/>
  </r>
  <r>
    <x v="136"/>
    <s v="CUST031"/>
    <x v="2"/>
    <s v="Low"/>
    <n v="72"/>
    <d v="2026-01-07T15:00:00"/>
    <d v="2026-01-09T11:00:00"/>
    <s v="Closed"/>
    <x v="1"/>
    <n v="44.000000000058208"/>
    <s v="No"/>
  </r>
  <r>
    <x v="137"/>
    <s v="CUST073"/>
    <x v="1"/>
    <s v="Medium"/>
    <n v="48"/>
    <d v="2026-01-08T20:00:00"/>
    <s v="null"/>
    <s v="Open"/>
    <x v="2"/>
    <s v="null"/>
    <s v="null"/>
  </r>
  <r>
    <x v="138"/>
    <s v="CUST002"/>
    <x v="0"/>
    <s v="High"/>
    <n v="24"/>
    <d v="2026-01-04T08:00:00"/>
    <d v="2026-01-05T19:00:00"/>
    <s v="Closed"/>
    <x v="1"/>
    <n v="34.999999999883585"/>
    <s v="Yes"/>
  </r>
  <r>
    <x v="139"/>
    <s v="CUST062"/>
    <x v="3"/>
    <s v="Low"/>
    <n v="72"/>
    <d v="2026-01-06T14:00:00"/>
    <s v="null"/>
    <s v="Open"/>
    <x v="2"/>
    <s v="null"/>
    <s v="null"/>
  </r>
  <r>
    <x v="140"/>
    <s v="CUST073"/>
    <x v="0"/>
    <s v="Low"/>
    <n v="72"/>
    <d v="2026-01-02T22:00:00"/>
    <d v="2026-01-05T17:00:00"/>
    <s v="Closed"/>
    <x v="2"/>
    <n v="67.000000000116415"/>
    <s v="No"/>
  </r>
  <r>
    <x v="141"/>
    <s v="CUST042"/>
    <x v="2"/>
    <s v="Low"/>
    <n v="72"/>
    <d v="2026-01-11T15:00:00"/>
    <s v="null"/>
    <s v="Open"/>
    <x v="0"/>
    <s v="null"/>
    <s v="null"/>
  </r>
  <r>
    <x v="142"/>
    <s v="CUST035"/>
    <x v="0"/>
    <s v="High"/>
    <n v="24"/>
    <d v="2026-01-13T11:00:00"/>
    <d v="2026-01-15T04:00:00"/>
    <s v="Closed"/>
    <x v="4"/>
    <n v="40.999999999883585"/>
    <s v="Yes"/>
  </r>
  <r>
    <x v="143"/>
    <s v="CUST020"/>
    <x v="0"/>
    <s v="High"/>
    <n v="24"/>
    <d v="2026-01-10T11:00:00"/>
    <s v="null"/>
    <s v="Open"/>
    <x v="0"/>
    <s v="null"/>
    <s v="null"/>
  </r>
  <r>
    <x v="144"/>
    <s v="CUST020"/>
    <x v="2"/>
    <s v="Medium"/>
    <n v="48"/>
    <d v="2026-01-05T18:00:00"/>
    <d v="2026-01-07T18:00:00"/>
    <s v="Closed"/>
    <x v="1"/>
    <n v="48"/>
    <s v="No"/>
  </r>
  <r>
    <x v="145"/>
    <s v="CUST025"/>
    <x v="1"/>
    <s v="Low"/>
    <n v="72"/>
    <d v="2026-01-07T08:00:00"/>
    <d v="2026-01-09T09:00:00"/>
    <s v="Closed"/>
    <x v="1"/>
    <n v="48.999999999941792"/>
    <s v="No"/>
  </r>
  <r>
    <x v="146"/>
    <s v="CUST076"/>
    <x v="1"/>
    <s v="Low"/>
    <n v="72"/>
    <d v="2026-01-09T21:00:00"/>
    <s v="null"/>
    <s v="Open"/>
    <x v="3"/>
    <s v="null"/>
    <s v="null"/>
  </r>
  <r>
    <x v="147"/>
    <s v="CUST064"/>
    <x v="0"/>
    <s v="Low"/>
    <n v="72"/>
    <d v="2026-01-04T13:00:00"/>
    <d v="2026-01-07T02:00:00"/>
    <s v="Closed"/>
    <x v="2"/>
    <n v="61.000000000116415"/>
    <s v="No"/>
  </r>
  <r>
    <x v="148"/>
    <s v="CUST045"/>
    <x v="0"/>
    <s v="Medium"/>
    <n v="48"/>
    <d v="2026-01-03T06:00:00"/>
    <s v="null"/>
    <s v="Open"/>
    <x v="4"/>
    <s v="null"/>
    <s v="null"/>
  </r>
  <r>
    <x v="149"/>
    <s v="CUST036"/>
    <x v="0"/>
    <s v="High"/>
    <n v="24"/>
    <d v="2026-01-05T15:00:00"/>
    <d v="2026-01-08T21:00:00"/>
    <s v="Closed"/>
    <x v="1"/>
    <n v="78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</r>
  <r>
    <x v="1"/>
  </r>
  <r>
    <x v="0"/>
  </r>
  <r>
    <x v="1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1"/>
  </r>
  <r>
    <x v="2"/>
  </r>
  <r>
    <x v="1"/>
  </r>
  <r>
    <x v="0"/>
  </r>
  <r>
    <x v="1"/>
  </r>
  <r>
    <x v="1"/>
  </r>
  <r>
    <x v="2"/>
  </r>
  <r>
    <x v="1"/>
  </r>
  <r>
    <x v="0"/>
  </r>
  <r>
    <x v="2"/>
  </r>
  <r>
    <x v="1"/>
  </r>
  <r>
    <x v="2"/>
  </r>
  <r>
    <x v="0"/>
  </r>
  <r>
    <x v="2"/>
  </r>
  <r>
    <x v="2"/>
  </r>
  <r>
    <x v="2"/>
  </r>
  <r>
    <x v="1"/>
  </r>
  <r>
    <x v="1"/>
  </r>
  <r>
    <x v="0"/>
  </r>
  <r>
    <x v="1"/>
  </r>
  <r>
    <x v="2"/>
  </r>
  <r>
    <x v="0"/>
  </r>
  <r>
    <x v="0"/>
  </r>
  <r>
    <x v="1"/>
  </r>
  <r>
    <x v="0"/>
  </r>
  <r>
    <x v="2"/>
  </r>
  <r>
    <x v="1"/>
  </r>
  <r>
    <x v="0"/>
  </r>
  <r>
    <x v="1"/>
  </r>
  <r>
    <x v="2"/>
  </r>
  <r>
    <x v="1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0"/>
  </r>
  <r>
    <x v="0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2"/>
  </r>
  <r>
    <x v="0"/>
  </r>
  <r>
    <x v="1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2"/>
  </r>
  <r>
    <x v="1"/>
  </r>
  <r>
    <x v="2"/>
  </r>
  <r>
    <x v="0"/>
  </r>
  <r>
    <x v="0"/>
  </r>
  <r>
    <x v="0"/>
  </r>
  <r>
    <x v="2"/>
  </r>
  <r>
    <x v="0"/>
  </r>
  <r>
    <x v="0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2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2"/>
  </r>
  <r>
    <x v="0"/>
  </r>
  <r>
    <x v="2"/>
  </r>
  <r>
    <x v="2"/>
  </r>
  <r>
    <x v="2"/>
  </r>
  <r>
    <x v="0"/>
  </r>
  <r>
    <x v="2"/>
  </r>
  <r>
    <x v="1"/>
  </r>
  <r>
    <x v="0"/>
  </r>
  <r>
    <x v="0"/>
  </r>
  <r>
    <x v="0"/>
  </r>
  <r>
    <x v="1"/>
  </r>
  <r>
    <x v="1"/>
  </r>
  <r>
    <x v="2"/>
  </r>
  <r>
    <x v="0"/>
  </r>
  <r>
    <x v="0"/>
  </r>
  <r>
    <x v="0"/>
  </r>
  <r>
    <x v="2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06D2F-CDBE-4DC6-A070-3AF9A80E708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Issue Type">
  <location ref="K26:L32" firstHeaderRow="1" firstDataRow="1" firstDataCol="1"/>
  <pivotFields count="11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 sortType="ascending">
      <items count="6">
        <item x="0"/>
        <item x="3"/>
        <item x="4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s" fld="0" subtotal="count" baseField="0" baseItem="0"/>
  </dataFields>
  <formats count="19">
    <format dxfId="342">
      <pivotArea collapsedLevelsAreSubtotals="1" fieldPosition="0">
        <references count="1">
          <reference field="2" count="0"/>
        </references>
      </pivotArea>
    </format>
    <format dxfId="341">
      <pivotArea grandRow="1" outline="0" collapsedLevelsAreSubtotals="1" fieldPosition="0"/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field="2" type="button" dataOnly="0" labelOnly="1" outline="0" axis="axisRow" fieldPosition="0"/>
    </format>
    <format dxfId="337">
      <pivotArea dataOnly="0" labelOnly="1" fieldPosition="0">
        <references count="1">
          <reference field="2" count="0"/>
        </references>
      </pivotArea>
    </format>
    <format dxfId="336">
      <pivotArea dataOnly="0" labelOnly="1" grandRow="1" outline="0" fieldPosition="0"/>
    </format>
    <format dxfId="335">
      <pivotArea dataOnly="0" labelOnly="1" outline="0" axis="axisValues" fieldPosition="0"/>
    </format>
    <format dxfId="334">
      <pivotArea dataOnly="0" labelOnly="1" grandRow="1" outline="0" fieldPosition="0"/>
    </format>
    <format dxfId="333">
      <pivotArea field="2" type="button" dataOnly="0" labelOnly="1" outline="0" axis="axisRow" fieldPosition="0"/>
    </format>
    <format dxfId="332">
      <pivotArea dataOnly="0" labelOnly="1" outline="0" axis="axisValues" fieldPosition="0"/>
    </format>
    <format dxfId="331">
      <pivotArea field="2" type="button" dataOnly="0" labelOnly="1" outline="0" axis="axisRow" fieldPosition="0"/>
    </format>
    <format dxfId="330">
      <pivotArea dataOnly="0" labelOnly="1" outline="0" axis="axisValues" fieldPosition="0"/>
    </format>
    <format dxfId="329">
      <pivotArea grandRow="1" outline="0" collapsedLevelsAreSubtotals="1" fieldPosition="0"/>
    </format>
    <format dxfId="328">
      <pivotArea dataOnly="0" labelOnly="1" grandRow="1" outline="0" fieldPosition="0"/>
    </format>
    <format dxfId="327">
      <pivotArea field="2" type="button" dataOnly="0" labelOnly="1" outline="0" axis="axisRow" fieldPosition="0"/>
    </format>
    <format dxfId="326">
      <pivotArea dataOnly="0" labelOnly="1" outline="0" axis="axisValues" fieldPosition="0"/>
    </format>
    <format dxfId="325">
      <pivotArea field="2" type="button" dataOnly="0" labelOnly="1" outline="0" axis="axisRow" fieldPosition="0"/>
    </format>
    <format dxfId="324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8FC59-EBAF-4627-8D54-979D14B204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_Name">
  <location ref="K46:L52" firstHeaderRow="1" firstDataRow="1" firstDataCol="1"/>
  <pivotFields count="11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ickets Handled" fld="0" subtotal="count" baseField="0" baseItem="0"/>
  </dataFields>
  <formats count="21"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8" type="button" dataOnly="0" labelOnly="1" outline="0" axis="axisRow" fieldPosition="0"/>
    </format>
    <format dxfId="360">
      <pivotArea dataOnly="0" labelOnly="1" fieldPosition="0">
        <references count="1">
          <reference field="8" count="0"/>
        </references>
      </pivotArea>
    </format>
    <format dxfId="359">
      <pivotArea dataOnly="0" labelOnly="1" grandRow="1" outline="0" fieldPosition="0"/>
    </format>
    <format dxfId="358">
      <pivotArea dataOnly="0" labelOnly="1" outline="0" axis="axisValues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8" type="button" dataOnly="0" labelOnly="1" outline="0" axis="axisRow" fieldPosition="0"/>
    </format>
    <format dxfId="354">
      <pivotArea dataOnly="0" labelOnly="1" fieldPosition="0">
        <references count="1">
          <reference field="8" count="0"/>
        </references>
      </pivotArea>
    </format>
    <format dxfId="353">
      <pivotArea dataOnly="0" labelOnly="1" grandRow="1" outline="0" fieldPosition="0"/>
    </format>
    <format dxfId="352">
      <pivotArea dataOnly="0" labelOnly="1" outline="0" axis="axisValues" fieldPosition="0"/>
    </format>
    <format dxfId="351">
      <pivotArea outline="0" collapsedLevelsAreSubtotals="1" fieldPosition="0"/>
    </format>
    <format dxfId="350">
      <pivotArea dataOnly="0" labelOnly="1" grandRow="1" outline="0" fieldPosition="0"/>
    </format>
    <format dxfId="349">
      <pivotArea dataOnly="0" labelOnly="1" fieldPosition="0">
        <references count="1">
          <reference field="8" count="0"/>
        </references>
      </pivotArea>
    </format>
    <format dxfId="348">
      <pivotArea field="8" type="button" dataOnly="0" labelOnly="1" outline="0" axis="axisRow" fieldPosition="0"/>
    </format>
    <format dxfId="347">
      <pivotArea dataOnly="0" labelOnly="1" outline="0" axis="axisValues" fieldPosition="0"/>
    </format>
    <format dxfId="346">
      <pivotArea grandRow="1" outline="0" collapsedLevelsAreSubtotals="1" fieldPosition="0"/>
    </format>
    <format dxfId="345">
      <pivotArea dataOnly="0" labelOnly="1" grandRow="1" outline="0" fieldPosition="0"/>
    </format>
    <format dxfId="344">
      <pivotArea field="8" type="button" dataOnly="0" labelOnly="1" outline="0" axis="axisRow" fieldPosition="0"/>
    </format>
    <format dxfId="3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6CF79-C485-4484-8C63-F54246511A4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omplaint Priority">
  <location ref="A3:B7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iority Type Percentage" fld="0" subtotal="count" showDataAs="percentOfTotal" baseField="0" baseItem="0" numFmtId="10"/>
  </dataFields>
  <formats count="20"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0" type="button" dataOnly="0" labelOnly="1" outline="0" axis="axisRow" fieldPosition="0"/>
    </format>
    <format dxfId="320">
      <pivotArea dataOnly="0" labelOnly="1" fieldPosition="0">
        <references count="1">
          <reference field="0" count="0"/>
        </references>
      </pivotArea>
    </format>
    <format dxfId="319">
      <pivotArea dataOnly="0" labelOnly="1" grandRow="1" outline="0" fieldPosition="0"/>
    </format>
    <format dxfId="318">
      <pivotArea dataOnly="0" labelOnly="1" outline="0" axis="axisValues" fieldPosition="0"/>
    </format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0" type="button" dataOnly="0" labelOnly="1" outline="0" axis="axisRow" fieldPosition="0"/>
    </format>
    <format dxfId="314">
      <pivotArea dataOnly="0" labelOnly="1" fieldPosition="0">
        <references count="1">
          <reference field="0" count="0"/>
        </references>
      </pivotArea>
    </format>
    <format dxfId="313">
      <pivotArea dataOnly="0" labelOnly="1" grandRow="1" outline="0" fieldPosition="0"/>
    </format>
    <format dxfId="312">
      <pivotArea dataOnly="0" labelOnly="1" outline="0" axis="axisValues" fieldPosition="0"/>
    </format>
    <format dxfId="311">
      <pivotArea outline="0" fieldPosition="0">
        <references count="1">
          <reference field="4294967294" count="1">
            <x v="0"/>
          </reference>
        </references>
      </pivotArea>
    </format>
    <format dxfId="31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0" type="button" dataOnly="0" labelOnly="1" outline="0" axis="axisRow" fieldPosition="0"/>
    </format>
    <format dxfId="306">
      <pivotArea dataOnly="0" labelOnly="1" fieldPosition="0">
        <references count="1">
          <reference field="0" count="0"/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B7A41-6841-40B8-B1D9-14CB8E47282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Issue Type">
  <location ref="B3:C9" firstHeaderRow="1" firstDataRow="1" firstDataCol="1"/>
  <pivotFields count="11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 sortType="descending">
      <items count="6">
        <item x="2"/>
        <item x="1"/>
        <item x="4"/>
        <item x="3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s" fld="0" subtotal="count" baseField="0" baseItem="0"/>
  </dataFields>
  <formats count="9">
    <format dxfId="303">
      <pivotArea collapsedLevelsAreSubtotals="1" fieldPosition="0">
        <references count="1">
          <reference field="2" count="0"/>
        </references>
      </pivotArea>
    </format>
    <format dxfId="302">
      <pivotArea grandRow="1" outline="0" collapsedLevelsAreSubtotals="1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2" type="button" dataOnly="0" labelOnly="1" outline="0" axis="axisRow" fieldPosition="0"/>
    </format>
    <format dxfId="298">
      <pivotArea dataOnly="0" labelOnly="1" fieldPosition="0">
        <references count="1">
          <reference field="2" count="0"/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  <format dxfId="295">
      <pivotArea dataOnly="0" labelOnly="1" grandRow="1" outline="0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18CFB-6904-44A2-B2A9-FB5673B70D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Agent_Name">
  <location ref="B3:C9" firstHeaderRow="1" firstDataRow="1" firstDataCol="1"/>
  <pivotFields count="11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 sortType="descending">
      <items count="6">
        <item x="3"/>
        <item x="2"/>
        <item x="4"/>
        <item x="0"/>
        <item x="1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ickets Handled" fld="0" subtotal="count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1F368-806F-4559-A712-5B30F8DB7516}" name="Table1" displayName="Table1" ref="A1:K151" totalsRowShown="0" headerRowDxfId="294" dataDxfId="293">
  <autoFilter ref="A1:K151" xr:uid="{9C21F368-806F-4559-A712-5B30F8DB7516}"/>
  <tableColumns count="11">
    <tableColumn id="1" xr3:uid="{A42BB39D-7774-4D06-8569-A39FF9D92B95}" name="Ticket_ID" dataDxfId="292"/>
    <tableColumn id="2" xr3:uid="{31E56FFB-FE5A-42F6-806F-B3400DB86A99}" name="Customer_ID" dataDxfId="291"/>
    <tableColumn id="3" xr3:uid="{4A2569CC-E758-49CF-BACA-380C07F73C81}" name="Issue_Type" dataDxfId="290"/>
    <tableColumn id="4" xr3:uid="{5BC281FB-F6FF-4B6F-B324-01F8070121BE}" name="Priority" dataDxfId="289"/>
    <tableColumn id="5" xr3:uid="{1DF5E393-F4EC-44ED-9C70-44039553CEA4}" name="SLA_Hours" dataDxfId="288"/>
    <tableColumn id="6" xr3:uid="{500CC580-67F7-41A7-B42F-D67168411831}" name="Ticket_Open_Date" dataDxfId="287"/>
    <tableColumn id="7" xr3:uid="{DEC0BA11-B96F-492C-9DC5-FD513A57AE38}" name="Ticket_Close_Date" dataDxfId="286"/>
    <tableColumn id="8" xr3:uid="{1E6C9005-0DAE-4D31-AAA4-C422D1270DB7}" name="Status" dataDxfId="285"/>
    <tableColumn id="9" xr3:uid="{FBD3C9C2-6D71-4862-804E-55CAD0F8F1B8}" name="Agent_Name" dataDxfId="284"/>
    <tableColumn id="10" xr3:uid="{655B87FD-9D94-4E36-84B7-BC440570EC9E}" name="Resolution_Time_Hours" dataDxfId="283">
      <calculatedColumnFormula>IF(Table1[[#This Row],[Ticket_Close_Date]] = "null", "null",((Table1[[#This Row],[Ticket_Close_Date]] - Table1[[#This Row],[Ticket_Open_Date]])*24))</calculatedColumnFormula>
    </tableColumn>
    <tableColumn id="11" xr3:uid="{F6A6C56E-2B37-448F-BF9C-0BEA0D7E4F0F}" name="SLA_Breached" dataDxfId="282">
      <calculatedColumnFormula>IF(Table1[[#This Row],[Resolution_Time_Hours]]="null", "null", IF( Table1[[#This Row],[Resolution_Time_Hours]] &gt; Table1[[#This Row],[SLA_Hours]],"Yes","No"))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9970-92CB-4E1A-B22A-7F57C52E4488}">
  <sheetPr>
    <pageSetUpPr fitToPage="1"/>
  </sheetPr>
  <dimension ref="B2:L52"/>
  <sheetViews>
    <sheetView showGridLines="0" tabSelected="1" zoomScaleNormal="100" workbookViewId="0">
      <selection activeCell="J28" sqref="J28"/>
    </sheetView>
  </sheetViews>
  <sheetFormatPr defaultRowHeight="15" x14ac:dyDescent="0.25"/>
  <cols>
    <col min="1" max="1" width="9.140625" style="9" customWidth="1"/>
    <col min="2" max="2" width="13.28515625" style="9" bestFit="1" customWidth="1"/>
    <col min="3" max="3" width="18.28515625" style="9" bestFit="1" customWidth="1"/>
    <col min="4" max="4" width="12.5703125" style="9" bestFit="1" customWidth="1"/>
    <col min="5" max="5" width="11.5703125" style="9" bestFit="1" customWidth="1"/>
    <col min="6" max="7" width="9.140625" style="9"/>
    <col min="8" max="8" width="11.5703125" style="9" bestFit="1" customWidth="1"/>
    <col min="9" max="10" width="9.140625" style="9"/>
    <col min="11" max="12" width="20.28515625" style="9" bestFit="1" customWidth="1"/>
    <col min="13" max="13" width="15.28515625" style="9" bestFit="1" customWidth="1"/>
    <col min="14" max="16384" width="9.140625" style="9"/>
  </cols>
  <sheetData>
    <row r="2" spans="2:7" ht="15" customHeight="1" x14ac:dyDescent="0.25"/>
    <row r="3" spans="2:7" ht="15" customHeight="1" x14ac:dyDescent="0.25"/>
    <row r="4" spans="2:7" ht="15" customHeight="1" x14ac:dyDescent="0.25"/>
    <row r="5" spans="2:7" ht="15" customHeight="1" x14ac:dyDescent="0.25"/>
    <row r="6" spans="2:7" ht="15" customHeight="1" x14ac:dyDescent="0.25"/>
    <row r="8" spans="2:7" x14ac:dyDescent="0.25">
      <c r="G8" s="10"/>
    </row>
    <row r="9" spans="2:7" ht="15" customHeight="1" x14ac:dyDescent="0.25">
      <c r="B9" s="17"/>
      <c r="C9" s="18" t="s">
        <v>244</v>
      </c>
      <c r="D9" s="11">
        <f>COUNTA(Table1[Ticket_ID])</f>
        <v>150</v>
      </c>
    </row>
    <row r="10" spans="2:7" ht="23.25" x14ac:dyDescent="0.25">
      <c r="B10" s="17"/>
      <c r="C10" s="18"/>
      <c r="D10" s="13"/>
    </row>
    <row r="11" spans="2:7" ht="23.25" x14ac:dyDescent="0.25">
      <c r="B11" s="17"/>
      <c r="C11" s="18" t="s">
        <v>249</v>
      </c>
      <c r="D11" s="12">
        <f>COUNTIF(Table1[SLA_Breached]:Table1[SLA_Breached],"No") / COUNTIF(Table1[SLA_Breached]:Table1[SLA_Breached],"&lt;&gt;null")</f>
        <v>0.6067415730337079</v>
      </c>
    </row>
    <row r="26" spans="11:12" x14ac:dyDescent="0.25">
      <c r="K26" s="21" t="s">
        <v>247</v>
      </c>
      <c r="L26" s="22" t="s">
        <v>248</v>
      </c>
    </row>
    <row r="27" spans="11:12" x14ac:dyDescent="0.25">
      <c r="K27" s="10" t="s">
        <v>13</v>
      </c>
      <c r="L27" s="19">
        <v>37</v>
      </c>
    </row>
    <row r="28" spans="11:12" x14ac:dyDescent="0.25">
      <c r="K28" s="10" t="s">
        <v>43</v>
      </c>
      <c r="L28" s="19">
        <v>27</v>
      </c>
    </row>
    <row r="29" spans="11:12" x14ac:dyDescent="0.25">
      <c r="K29" s="10" t="s">
        <v>48</v>
      </c>
      <c r="L29" s="19">
        <v>27</v>
      </c>
    </row>
    <row r="30" spans="11:12" x14ac:dyDescent="0.25">
      <c r="K30" s="10" t="s">
        <v>19</v>
      </c>
      <c r="L30" s="19">
        <v>31</v>
      </c>
    </row>
    <row r="31" spans="11:12" x14ac:dyDescent="0.25">
      <c r="K31" s="10" t="s">
        <v>24</v>
      </c>
      <c r="L31" s="19">
        <v>28</v>
      </c>
    </row>
    <row r="32" spans="11:12" x14ac:dyDescent="0.25">
      <c r="K32" s="14" t="s">
        <v>245</v>
      </c>
      <c r="L32" s="20">
        <v>150</v>
      </c>
    </row>
    <row r="46" spans="11:12" x14ac:dyDescent="0.25">
      <c r="K46" s="15" t="s">
        <v>8</v>
      </c>
      <c r="L46" s="16" t="s">
        <v>246</v>
      </c>
    </row>
    <row r="47" spans="11:12" x14ac:dyDescent="0.25">
      <c r="K47" s="1" t="s">
        <v>21</v>
      </c>
      <c r="L47" s="1">
        <v>36</v>
      </c>
    </row>
    <row r="48" spans="11:12" x14ac:dyDescent="0.25">
      <c r="K48" s="1" t="s">
        <v>16</v>
      </c>
      <c r="L48" s="1">
        <v>34</v>
      </c>
    </row>
    <row r="49" spans="11:12" x14ac:dyDescent="0.25">
      <c r="K49" s="1" t="s">
        <v>49</v>
      </c>
      <c r="L49" s="1">
        <v>21</v>
      </c>
    </row>
    <row r="50" spans="11:12" x14ac:dyDescent="0.25">
      <c r="K50" s="1" t="s">
        <v>25</v>
      </c>
      <c r="L50" s="1">
        <v>34</v>
      </c>
    </row>
    <row r="51" spans="11:12" x14ac:dyDescent="0.25">
      <c r="K51" s="1" t="s">
        <v>36</v>
      </c>
      <c r="L51" s="1">
        <v>25</v>
      </c>
    </row>
    <row r="52" spans="11:12" x14ac:dyDescent="0.25">
      <c r="K52" s="14" t="s">
        <v>245</v>
      </c>
      <c r="L52" s="14">
        <v>150</v>
      </c>
    </row>
  </sheetData>
  <pageMargins left="0.25" right="0.25" top="0.75" bottom="0.75" header="0.3" footer="0.3"/>
  <pageSetup paperSize="9" scale="58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B34E-7493-419D-B801-AF93958B2032}">
  <dimension ref="A3:C7"/>
  <sheetViews>
    <sheetView workbookViewId="0">
      <selection activeCell="A3" sqref="A3:C7"/>
    </sheetView>
  </sheetViews>
  <sheetFormatPr defaultRowHeight="15" x14ac:dyDescent="0.25"/>
  <cols>
    <col min="1" max="1" width="22" style="9" bestFit="1" customWidth="1"/>
    <col min="2" max="3" width="23.140625" style="9" bestFit="1" customWidth="1"/>
    <col min="4" max="16384" width="9.140625" style="9"/>
  </cols>
  <sheetData>
    <row r="3" spans="1:3" x14ac:dyDescent="0.25">
      <c r="A3" s="26" t="s">
        <v>250</v>
      </c>
      <c r="B3" s="23" t="s">
        <v>251</v>
      </c>
      <c r="C3"/>
    </row>
    <row r="4" spans="1:3" x14ac:dyDescent="0.25">
      <c r="A4" s="23" t="s">
        <v>14</v>
      </c>
      <c r="B4" s="24">
        <v>0.41333333333333333</v>
      </c>
      <c r="C4"/>
    </row>
    <row r="5" spans="1:3" x14ac:dyDescent="0.25">
      <c r="A5" s="23" t="s">
        <v>30</v>
      </c>
      <c r="B5" s="24">
        <v>0.25333333333333335</v>
      </c>
      <c r="C5"/>
    </row>
    <row r="6" spans="1:3" x14ac:dyDescent="0.25">
      <c r="A6" s="23" t="s">
        <v>20</v>
      </c>
      <c r="B6" s="24">
        <v>0.33333333333333331</v>
      </c>
      <c r="C6"/>
    </row>
    <row r="7" spans="1:3" x14ac:dyDescent="0.25">
      <c r="A7" s="23" t="s">
        <v>245</v>
      </c>
      <c r="B7" s="25">
        <v>1</v>
      </c>
      <c r="C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D8FF-DEAC-4D75-85CF-9270A62189C0}">
  <dimension ref="B3:C9"/>
  <sheetViews>
    <sheetView workbookViewId="0">
      <selection activeCell="C9" sqref="C9"/>
    </sheetView>
  </sheetViews>
  <sheetFormatPr defaultRowHeight="15" x14ac:dyDescent="0.25"/>
  <cols>
    <col min="1" max="1" width="9.140625" customWidth="1"/>
    <col min="2" max="2" width="19.140625" bestFit="1" customWidth="1"/>
    <col min="3" max="3" width="17.42578125" bestFit="1" customWidth="1"/>
  </cols>
  <sheetData>
    <row r="3" spans="2:3" x14ac:dyDescent="0.25">
      <c r="B3" s="8" t="s">
        <v>247</v>
      </c>
      <c r="C3" s="9" t="s">
        <v>248</v>
      </c>
    </row>
    <row r="4" spans="2:3" x14ac:dyDescent="0.25">
      <c r="B4" s="10" t="s">
        <v>24</v>
      </c>
      <c r="C4" s="1">
        <v>28</v>
      </c>
    </row>
    <row r="5" spans="2:3" x14ac:dyDescent="0.25">
      <c r="B5" s="10" t="s">
        <v>19</v>
      </c>
      <c r="C5" s="1">
        <v>31</v>
      </c>
    </row>
    <row r="6" spans="2:3" x14ac:dyDescent="0.25">
      <c r="B6" s="10" t="s">
        <v>48</v>
      </c>
      <c r="C6" s="1">
        <v>27</v>
      </c>
    </row>
    <row r="7" spans="2:3" x14ac:dyDescent="0.25">
      <c r="B7" s="10" t="s">
        <v>43</v>
      </c>
      <c r="C7" s="1">
        <v>27</v>
      </c>
    </row>
    <row r="8" spans="2:3" x14ac:dyDescent="0.25">
      <c r="B8" s="10" t="s">
        <v>13</v>
      </c>
      <c r="C8" s="1">
        <v>37</v>
      </c>
    </row>
    <row r="9" spans="2:3" x14ac:dyDescent="0.25">
      <c r="B9" s="1" t="s">
        <v>245</v>
      </c>
      <c r="C9" s="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71AC-2807-49B0-9EBC-91800FD0D05F}">
  <dimension ref="B3:C9"/>
  <sheetViews>
    <sheetView workbookViewId="0">
      <selection activeCell="C9" sqref="C9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5.140625" bestFit="1" customWidth="1"/>
  </cols>
  <sheetData>
    <row r="3" spans="2:3" x14ac:dyDescent="0.25">
      <c r="B3" s="6" t="s">
        <v>8</v>
      </c>
      <c r="C3" t="s">
        <v>246</v>
      </c>
    </row>
    <row r="4" spans="2:3" x14ac:dyDescent="0.25">
      <c r="B4" s="7" t="s">
        <v>36</v>
      </c>
      <c r="C4">
        <v>25</v>
      </c>
    </row>
    <row r="5" spans="2:3" x14ac:dyDescent="0.25">
      <c r="B5" s="7" t="s">
        <v>25</v>
      </c>
      <c r="C5">
        <v>34</v>
      </c>
    </row>
    <row r="6" spans="2:3" x14ac:dyDescent="0.25">
      <c r="B6" s="7" t="s">
        <v>49</v>
      </c>
      <c r="C6">
        <v>21</v>
      </c>
    </row>
    <row r="7" spans="2:3" x14ac:dyDescent="0.25">
      <c r="B7" s="7" t="s">
        <v>16</v>
      </c>
      <c r="C7">
        <v>34</v>
      </c>
    </row>
    <row r="8" spans="2:3" x14ac:dyDescent="0.25">
      <c r="B8" s="7" t="s">
        <v>21</v>
      </c>
      <c r="C8">
        <v>36</v>
      </c>
    </row>
    <row r="9" spans="2:3" x14ac:dyDescent="0.25">
      <c r="B9" s="7" t="s">
        <v>245</v>
      </c>
      <c r="C9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04ED-0E2D-410A-95F7-3ADCF937C660}">
  <dimension ref="A1:K151"/>
  <sheetViews>
    <sheetView workbookViewId="0">
      <selection activeCell="D1" sqref="D1"/>
    </sheetView>
  </sheetViews>
  <sheetFormatPr defaultColWidth="9.140625" defaultRowHeight="15" x14ac:dyDescent="0.25"/>
  <cols>
    <col min="1" max="1" width="13.7109375" bestFit="1" customWidth="1"/>
    <col min="2" max="2" width="17" bestFit="1" customWidth="1"/>
    <col min="3" max="3" width="19.140625" bestFit="1" customWidth="1"/>
    <col min="4" max="4" width="12.140625" bestFit="1" customWidth="1"/>
    <col min="5" max="5" width="14.85546875" bestFit="1" customWidth="1"/>
    <col min="6" max="7" width="22.140625" bestFit="1" customWidth="1"/>
    <col min="8" max="8" width="11" bestFit="1" customWidth="1"/>
    <col min="9" max="9" width="17.140625" bestFit="1" customWidth="1"/>
    <col min="10" max="10" width="27.140625" bestFit="1" customWidth="1"/>
    <col min="11" max="11" width="18.140625" bestFit="1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>
        <v>72</v>
      </c>
      <c r="F2" s="2">
        <v>46025.708333333336</v>
      </c>
      <c r="G2" s="2">
        <v>46026.25</v>
      </c>
      <c r="H2" s="1" t="s">
        <v>15</v>
      </c>
      <c r="I2" s="1" t="s">
        <v>16</v>
      </c>
      <c r="J2" s="5">
        <f>IF(Table1[[#This Row],[Ticket_Close_Date]] = "null", "null",((Table1[[#This Row],[Ticket_Close_Date]] - Table1[[#This Row],[Ticket_Open_Date]])*24))</f>
        <v>12.999999999941792</v>
      </c>
      <c r="K2" s="1" t="str">
        <f>IF(Table1[[#This Row],[Resolution_Time_Hours]]="null", "null", IF( Table1[[#This Row],[Resolution_Time_Hours]] &gt; Table1[[#This Row],[SLA_Hours]],"Yes","No"))</f>
        <v>No</v>
      </c>
    </row>
    <row r="3" spans="1:11" x14ac:dyDescent="0.25">
      <c r="A3" s="1" t="s">
        <v>17</v>
      </c>
      <c r="B3" s="1" t="s">
        <v>18</v>
      </c>
      <c r="C3" s="1" t="s">
        <v>19</v>
      </c>
      <c r="D3" s="1" t="s">
        <v>20</v>
      </c>
      <c r="E3" s="1">
        <v>24</v>
      </c>
      <c r="F3" s="2">
        <v>46033.125</v>
      </c>
      <c r="G3" s="2">
        <v>46034.625</v>
      </c>
      <c r="H3" s="1" t="s">
        <v>15</v>
      </c>
      <c r="I3" s="1" t="s">
        <v>21</v>
      </c>
      <c r="J3" s="5">
        <f>IF(Table1[[#This Row],[Ticket_Close_Date]] = "null", "null",((Table1[[#This Row],[Ticket_Close_Date]] - Table1[[#This Row],[Ticket_Open_Date]])*24))</f>
        <v>36</v>
      </c>
      <c r="K3" s="1" t="str">
        <f>IF(Table1[[#This Row],[Resolution_Time_Hours]]="null", "null", IF( Table1[[#This Row],[Resolution_Time_Hours]] &gt; Table1[[#This Row],[SLA_Hours]],"Yes","No"))</f>
        <v>Yes</v>
      </c>
    </row>
    <row r="4" spans="1:11" x14ac:dyDescent="0.25">
      <c r="A4" s="1" t="s">
        <v>22</v>
      </c>
      <c r="B4" s="1" t="s">
        <v>23</v>
      </c>
      <c r="C4" s="1" t="s">
        <v>24</v>
      </c>
      <c r="D4" s="1" t="s">
        <v>14</v>
      </c>
      <c r="E4" s="1">
        <v>72</v>
      </c>
      <c r="F4" s="2">
        <v>46029.625</v>
      </c>
      <c r="G4" s="2">
        <v>46032.75</v>
      </c>
      <c r="H4" s="1" t="s">
        <v>15</v>
      </c>
      <c r="I4" s="1" t="s">
        <v>25</v>
      </c>
      <c r="J4" s="5">
        <f>IF(Table1[[#This Row],[Ticket_Close_Date]] = "null", "null",((Table1[[#This Row],[Ticket_Close_Date]] - Table1[[#This Row],[Ticket_Open_Date]])*24))</f>
        <v>75</v>
      </c>
      <c r="K4" s="1" t="str">
        <f>IF(Table1[[#This Row],[Resolution_Time_Hours]]="null", "null", IF( Table1[[#This Row],[Resolution_Time_Hours]] &gt; Table1[[#This Row],[SLA_Hours]],"Yes","No"))</f>
        <v>Yes</v>
      </c>
    </row>
    <row r="5" spans="1:11" x14ac:dyDescent="0.25">
      <c r="A5" s="1" t="s">
        <v>26</v>
      </c>
      <c r="B5" s="1" t="s">
        <v>27</v>
      </c>
      <c r="C5" s="1" t="s">
        <v>19</v>
      </c>
      <c r="D5" s="1" t="s">
        <v>20</v>
      </c>
      <c r="E5" s="1">
        <v>24</v>
      </c>
      <c r="F5" s="2">
        <v>46027</v>
      </c>
      <c r="G5" s="2">
        <v>46029.333333333336</v>
      </c>
      <c r="H5" s="1" t="s">
        <v>15</v>
      </c>
      <c r="I5" s="1" t="s">
        <v>16</v>
      </c>
      <c r="J5" s="5">
        <f>IF(Table1[[#This Row],[Ticket_Close_Date]] = "null", "null",((Table1[[#This Row],[Ticket_Close_Date]] - Table1[[#This Row],[Ticket_Open_Date]])*24))</f>
        <v>56.000000000058208</v>
      </c>
      <c r="K5" s="1" t="str">
        <f>IF(Table1[[#This Row],[Resolution_Time_Hours]]="null", "null", IF( Table1[[#This Row],[Resolution_Time_Hours]] &gt; Table1[[#This Row],[SLA_Hours]],"Yes","No"))</f>
        <v>Yes</v>
      </c>
    </row>
    <row r="6" spans="1:11" x14ac:dyDescent="0.25">
      <c r="A6" s="1" t="s">
        <v>28</v>
      </c>
      <c r="B6" s="1" t="s">
        <v>29</v>
      </c>
      <c r="C6" s="1" t="s">
        <v>24</v>
      </c>
      <c r="D6" s="1" t="s">
        <v>30</v>
      </c>
      <c r="E6" s="1">
        <v>48</v>
      </c>
      <c r="F6" s="2">
        <v>46026.416666666664</v>
      </c>
      <c r="G6" s="2">
        <v>46027.375</v>
      </c>
      <c r="H6" s="1" t="s">
        <v>15</v>
      </c>
      <c r="I6" s="1" t="s">
        <v>21</v>
      </c>
      <c r="J6" s="5">
        <f>IF(Table1[[#This Row],[Ticket_Close_Date]] = "null", "null",((Table1[[#This Row],[Ticket_Close_Date]] - Table1[[#This Row],[Ticket_Open_Date]])*24))</f>
        <v>23.000000000058208</v>
      </c>
      <c r="K6" s="1" t="str">
        <f>IF(Table1[[#This Row],[Resolution_Time_Hours]]="null", "null", IF( Table1[[#This Row],[Resolution_Time_Hours]] &gt; Table1[[#This Row],[SLA_Hours]],"Yes","No"))</f>
        <v>No</v>
      </c>
    </row>
    <row r="7" spans="1:11" x14ac:dyDescent="0.25">
      <c r="A7" s="1" t="s">
        <v>31</v>
      </c>
      <c r="B7" s="1" t="s">
        <v>32</v>
      </c>
      <c r="C7" s="1" t="s">
        <v>19</v>
      </c>
      <c r="D7" s="1" t="s">
        <v>30</v>
      </c>
      <c r="E7" s="1">
        <v>48</v>
      </c>
      <c r="F7" s="2">
        <v>46034.791666666664</v>
      </c>
      <c r="G7" s="2">
        <v>46037.875</v>
      </c>
      <c r="H7" s="1" t="s">
        <v>15</v>
      </c>
      <c r="I7" s="1" t="s">
        <v>16</v>
      </c>
      <c r="J7" s="5">
        <f>IF(Table1[[#This Row],[Ticket_Close_Date]] = "null", "null",((Table1[[#This Row],[Ticket_Close_Date]] - Table1[[#This Row],[Ticket_Open_Date]])*24))</f>
        <v>74.000000000058208</v>
      </c>
      <c r="K7" s="1" t="str">
        <f>IF(Table1[[#This Row],[Resolution_Time_Hours]]="null", "null", IF( Table1[[#This Row],[Resolution_Time_Hours]] &gt; Table1[[#This Row],[SLA_Hours]],"Yes","No"))</f>
        <v>Yes</v>
      </c>
    </row>
    <row r="8" spans="1:11" x14ac:dyDescent="0.25">
      <c r="A8" s="1" t="s">
        <v>33</v>
      </c>
      <c r="B8" s="1" t="s">
        <v>34</v>
      </c>
      <c r="C8" s="1" t="s">
        <v>24</v>
      </c>
      <c r="D8" s="1" t="s">
        <v>14</v>
      </c>
      <c r="E8" s="1">
        <v>72</v>
      </c>
      <c r="F8" s="2">
        <v>46024</v>
      </c>
      <c r="G8" s="2" t="s">
        <v>243</v>
      </c>
      <c r="H8" s="1" t="s">
        <v>35</v>
      </c>
      <c r="I8" s="1" t="s">
        <v>36</v>
      </c>
      <c r="J8" s="5" t="str">
        <f>IF(Table1[[#This Row],[Ticket_Close_Date]] = "null", "null",((Table1[[#This Row],[Ticket_Close_Date]] - Table1[[#This Row],[Ticket_Open_Date]])*24))</f>
        <v>null</v>
      </c>
      <c r="K8" s="1" t="str">
        <f>IF(Table1[[#This Row],[Resolution_Time_Hours]]="null", "null", IF( Table1[[#This Row],[Resolution_Time_Hours]] &gt; Table1[[#This Row],[SLA_Hours]],"Yes","No"))</f>
        <v>null</v>
      </c>
    </row>
    <row r="9" spans="1:11" x14ac:dyDescent="0.25">
      <c r="A9" s="1" t="s">
        <v>37</v>
      </c>
      <c r="B9" s="1" t="s">
        <v>38</v>
      </c>
      <c r="C9" s="1" t="s">
        <v>24</v>
      </c>
      <c r="D9" s="1" t="s">
        <v>30</v>
      </c>
      <c r="E9" s="1">
        <v>48</v>
      </c>
      <c r="F9" s="2">
        <v>46032.75</v>
      </c>
      <c r="G9" s="2" t="s">
        <v>243</v>
      </c>
      <c r="H9" s="1" t="s">
        <v>35</v>
      </c>
      <c r="I9" s="1" t="s">
        <v>21</v>
      </c>
      <c r="J9" s="5" t="str">
        <f>IF(Table1[[#This Row],[Ticket_Close_Date]] = "null", "null",((Table1[[#This Row],[Ticket_Close_Date]] - Table1[[#This Row],[Ticket_Open_Date]])*24))</f>
        <v>null</v>
      </c>
      <c r="K9" s="1" t="str">
        <f>IF(Table1[[#This Row],[Resolution_Time_Hours]]="null", "null", IF( Table1[[#This Row],[Resolution_Time_Hours]] &gt; Table1[[#This Row],[SLA_Hours]],"Yes","No"))</f>
        <v>null</v>
      </c>
    </row>
    <row r="10" spans="1:11" x14ac:dyDescent="0.25">
      <c r="A10" s="1" t="s">
        <v>39</v>
      </c>
      <c r="B10" s="1" t="s">
        <v>40</v>
      </c>
      <c r="C10" s="1" t="s">
        <v>19</v>
      </c>
      <c r="D10" s="1" t="s">
        <v>14</v>
      </c>
      <c r="E10" s="1">
        <v>72</v>
      </c>
      <c r="F10" s="2">
        <v>46028.333333333336</v>
      </c>
      <c r="G10" s="2" t="s">
        <v>243</v>
      </c>
      <c r="H10" s="1" t="s">
        <v>35</v>
      </c>
      <c r="I10" s="1" t="s">
        <v>21</v>
      </c>
      <c r="J10" s="5" t="str">
        <f>IF(Table1[[#This Row],[Ticket_Close_Date]] = "null", "null",((Table1[[#This Row],[Ticket_Close_Date]] - Table1[[#This Row],[Ticket_Open_Date]])*24))</f>
        <v>null</v>
      </c>
      <c r="K10" s="1" t="str">
        <f>IF(Table1[[#This Row],[Resolution_Time_Hours]]="null", "null", IF( Table1[[#This Row],[Resolution_Time_Hours]] &gt; Table1[[#This Row],[SLA_Hours]],"Yes","No"))</f>
        <v>null</v>
      </c>
    </row>
    <row r="11" spans="1:11" x14ac:dyDescent="0.25">
      <c r="A11" s="1" t="s">
        <v>41</v>
      </c>
      <c r="B11" s="1" t="s">
        <v>42</v>
      </c>
      <c r="C11" s="1" t="s">
        <v>43</v>
      </c>
      <c r="D11" s="1" t="s">
        <v>14</v>
      </c>
      <c r="E11" s="1">
        <v>72</v>
      </c>
      <c r="F11" s="2">
        <v>46025.333333333336</v>
      </c>
      <c r="G11" s="2">
        <v>46028.125</v>
      </c>
      <c r="H11" s="1" t="s">
        <v>15</v>
      </c>
      <c r="I11" s="1" t="s">
        <v>21</v>
      </c>
      <c r="J11" s="5">
        <f>IF(Table1[[#This Row],[Ticket_Close_Date]] = "null", "null",((Table1[[#This Row],[Ticket_Close_Date]] - Table1[[#This Row],[Ticket_Open_Date]])*24))</f>
        <v>66.999999999941792</v>
      </c>
      <c r="K11" s="1" t="str">
        <f>IF(Table1[[#This Row],[Resolution_Time_Hours]]="null", "null", IF( Table1[[#This Row],[Resolution_Time_Hours]] &gt; Table1[[#This Row],[SLA_Hours]],"Yes","No"))</f>
        <v>No</v>
      </c>
    </row>
    <row r="12" spans="1:11" x14ac:dyDescent="0.25">
      <c r="A12" s="1" t="s">
        <v>44</v>
      </c>
      <c r="B12" s="1" t="s">
        <v>45</v>
      </c>
      <c r="C12" s="1" t="s">
        <v>43</v>
      </c>
      <c r="D12" s="1" t="s">
        <v>14</v>
      </c>
      <c r="E12" s="1">
        <v>72</v>
      </c>
      <c r="F12" s="2">
        <v>46027.166666666664</v>
      </c>
      <c r="G12" s="2" t="s">
        <v>243</v>
      </c>
      <c r="H12" s="1" t="s">
        <v>35</v>
      </c>
      <c r="I12" s="1" t="s">
        <v>36</v>
      </c>
      <c r="J12" s="5" t="str">
        <f>IF(Table1[[#This Row],[Ticket_Close_Date]] = "null", "null",((Table1[[#This Row],[Ticket_Close_Date]] - Table1[[#This Row],[Ticket_Open_Date]])*24))</f>
        <v>null</v>
      </c>
      <c r="K12" s="1" t="str">
        <f>IF(Table1[[#This Row],[Resolution_Time_Hours]]="null", "null", IF( Table1[[#This Row],[Resolution_Time_Hours]] &gt; Table1[[#This Row],[SLA_Hours]],"Yes","No"))</f>
        <v>null</v>
      </c>
    </row>
    <row r="13" spans="1:11" x14ac:dyDescent="0.25">
      <c r="A13" s="1" t="s">
        <v>46</v>
      </c>
      <c r="B13" s="1" t="s">
        <v>47</v>
      </c>
      <c r="C13" s="1" t="s">
        <v>48</v>
      </c>
      <c r="D13" s="1" t="s">
        <v>14</v>
      </c>
      <c r="E13" s="1">
        <v>72</v>
      </c>
      <c r="F13" s="2">
        <v>46034.166666666664</v>
      </c>
      <c r="G13" s="2">
        <v>46036</v>
      </c>
      <c r="H13" s="1" t="s">
        <v>15</v>
      </c>
      <c r="I13" s="1" t="s">
        <v>49</v>
      </c>
      <c r="J13" s="5">
        <f>IF(Table1[[#This Row],[Ticket_Close_Date]] = "null", "null",((Table1[[#This Row],[Ticket_Close_Date]] - Table1[[#This Row],[Ticket_Open_Date]])*24))</f>
        <v>44.000000000058208</v>
      </c>
      <c r="K13" s="1" t="str">
        <f>IF(Table1[[#This Row],[Resolution_Time_Hours]]="null", "null", IF( Table1[[#This Row],[Resolution_Time_Hours]] &gt; Table1[[#This Row],[SLA_Hours]],"Yes","No"))</f>
        <v>No</v>
      </c>
    </row>
    <row r="14" spans="1:11" x14ac:dyDescent="0.25">
      <c r="A14" s="1" t="s">
        <v>50</v>
      </c>
      <c r="B14" s="1" t="s">
        <v>51</v>
      </c>
      <c r="C14" s="1" t="s">
        <v>48</v>
      </c>
      <c r="D14" s="1" t="s">
        <v>14</v>
      </c>
      <c r="E14" s="1">
        <v>72</v>
      </c>
      <c r="F14" s="2">
        <v>46028.833333333336</v>
      </c>
      <c r="G14" s="2">
        <v>46030.541666666664</v>
      </c>
      <c r="H14" s="1" t="s">
        <v>15</v>
      </c>
      <c r="I14" s="1" t="s">
        <v>49</v>
      </c>
      <c r="J14" s="5">
        <f>IF(Table1[[#This Row],[Ticket_Close_Date]] = "null", "null",((Table1[[#This Row],[Ticket_Close_Date]] - Table1[[#This Row],[Ticket_Open_Date]])*24))</f>
        <v>40.999999999883585</v>
      </c>
      <c r="K14" s="1" t="str">
        <f>IF(Table1[[#This Row],[Resolution_Time_Hours]]="null", "null", IF( Table1[[#This Row],[Resolution_Time_Hours]] &gt; Table1[[#This Row],[SLA_Hours]],"Yes","No"))</f>
        <v>No</v>
      </c>
    </row>
    <row r="15" spans="1:11" x14ac:dyDescent="0.25">
      <c r="A15" s="1" t="s">
        <v>52</v>
      </c>
      <c r="B15" s="1" t="s">
        <v>53</v>
      </c>
      <c r="C15" s="1" t="s">
        <v>43</v>
      </c>
      <c r="D15" s="1" t="s">
        <v>20</v>
      </c>
      <c r="E15" s="1">
        <v>24</v>
      </c>
      <c r="F15" s="2">
        <v>46034</v>
      </c>
      <c r="G15" s="2" t="s">
        <v>243</v>
      </c>
      <c r="H15" s="1" t="s">
        <v>35</v>
      </c>
      <c r="I15" s="1" t="s">
        <v>49</v>
      </c>
      <c r="J15" s="5" t="str">
        <f>IF(Table1[[#This Row],[Ticket_Close_Date]] = "null", "null",((Table1[[#This Row],[Ticket_Close_Date]] - Table1[[#This Row],[Ticket_Open_Date]])*24))</f>
        <v>null</v>
      </c>
      <c r="K15" s="1" t="str">
        <f>IF(Table1[[#This Row],[Resolution_Time_Hours]]="null", "null", IF( Table1[[#This Row],[Resolution_Time_Hours]] &gt; Table1[[#This Row],[SLA_Hours]],"Yes","No"))</f>
        <v>null</v>
      </c>
    </row>
    <row r="16" spans="1:11" x14ac:dyDescent="0.25">
      <c r="A16" s="1" t="s">
        <v>54</v>
      </c>
      <c r="B16" s="1" t="s">
        <v>55</v>
      </c>
      <c r="C16" s="1" t="s">
        <v>24</v>
      </c>
      <c r="D16" s="1" t="s">
        <v>14</v>
      </c>
      <c r="E16" s="1">
        <v>72</v>
      </c>
      <c r="F16" s="2">
        <v>46027.875</v>
      </c>
      <c r="G16" s="2">
        <v>46029.916666666664</v>
      </c>
      <c r="H16" s="1" t="s">
        <v>15</v>
      </c>
      <c r="I16" s="1" t="s">
        <v>16</v>
      </c>
      <c r="J16" s="5">
        <f>IF(Table1[[#This Row],[Ticket_Close_Date]] = "null", "null",((Table1[[#This Row],[Ticket_Close_Date]] - Table1[[#This Row],[Ticket_Open_Date]])*24))</f>
        <v>48.999999999941792</v>
      </c>
      <c r="K16" s="1" t="str">
        <f>IF(Table1[[#This Row],[Resolution_Time_Hours]]="null", "null", IF( Table1[[#This Row],[Resolution_Time_Hours]] &gt; Table1[[#This Row],[SLA_Hours]],"Yes","No"))</f>
        <v>No</v>
      </c>
    </row>
    <row r="17" spans="1:11" x14ac:dyDescent="0.25">
      <c r="A17" s="1" t="s">
        <v>56</v>
      </c>
      <c r="B17" s="1" t="s">
        <v>45</v>
      </c>
      <c r="C17" s="1" t="s">
        <v>13</v>
      </c>
      <c r="D17" s="1" t="s">
        <v>14</v>
      </c>
      <c r="E17" s="1">
        <v>72</v>
      </c>
      <c r="F17" s="2">
        <v>46023.5</v>
      </c>
      <c r="G17" s="2" t="s">
        <v>243</v>
      </c>
      <c r="H17" s="1" t="s">
        <v>35</v>
      </c>
      <c r="I17" s="1" t="s">
        <v>21</v>
      </c>
      <c r="J17" s="5" t="str">
        <f>IF(Table1[[#This Row],[Ticket_Close_Date]] = "null", "null",((Table1[[#This Row],[Ticket_Close_Date]] - Table1[[#This Row],[Ticket_Open_Date]])*24))</f>
        <v>null</v>
      </c>
      <c r="K17" s="1" t="str">
        <f>IF(Table1[[#This Row],[Resolution_Time_Hours]]="null", "null", IF( Table1[[#This Row],[Resolution_Time_Hours]] &gt; Table1[[#This Row],[SLA_Hours]],"Yes","No"))</f>
        <v>null</v>
      </c>
    </row>
    <row r="18" spans="1:11" x14ac:dyDescent="0.25">
      <c r="A18" s="1" t="s">
        <v>57</v>
      </c>
      <c r="B18" s="1" t="s">
        <v>58</v>
      </c>
      <c r="C18" s="1" t="s">
        <v>19</v>
      </c>
      <c r="D18" s="1" t="s">
        <v>20</v>
      </c>
      <c r="E18" s="1">
        <v>24</v>
      </c>
      <c r="F18" s="2">
        <v>46034.166666666664</v>
      </c>
      <c r="G18" s="2">
        <v>46036.708333333336</v>
      </c>
      <c r="H18" s="1" t="s">
        <v>15</v>
      </c>
      <c r="I18" s="1" t="s">
        <v>16</v>
      </c>
      <c r="J18" s="5">
        <f>IF(Table1[[#This Row],[Ticket_Close_Date]] = "null", "null",((Table1[[#This Row],[Ticket_Close_Date]] - Table1[[#This Row],[Ticket_Open_Date]])*24))</f>
        <v>61.000000000116415</v>
      </c>
      <c r="K18" s="1" t="str">
        <f>IF(Table1[[#This Row],[Resolution_Time_Hours]]="null", "null", IF( Table1[[#This Row],[Resolution_Time_Hours]] &gt; Table1[[#This Row],[SLA_Hours]],"Yes","No"))</f>
        <v>Yes</v>
      </c>
    </row>
    <row r="19" spans="1:11" x14ac:dyDescent="0.25">
      <c r="A19" s="1" t="s">
        <v>59</v>
      </c>
      <c r="B19" s="1" t="s">
        <v>60</v>
      </c>
      <c r="C19" s="1" t="s">
        <v>19</v>
      </c>
      <c r="D19" s="1" t="s">
        <v>30</v>
      </c>
      <c r="E19" s="1">
        <v>48</v>
      </c>
      <c r="F19" s="2">
        <v>46028.333333333336</v>
      </c>
      <c r="G19" s="2" t="s">
        <v>243</v>
      </c>
      <c r="H19" s="1" t="s">
        <v>35</v>
      </c>
      <c r="I19" s="1" t="s">
        <v>21</v>
      </c>
      <c r="J19" s="5" t="str">
        <f>IF(Table1[[#This Row],[Ticket_Close_Date]] = "null", "null",((Table1[[#This Row],[Ticket_Close_Date]] - Table1[[#This Row],[Ticket_Open_Date]])*24))</f>
        <v>null</v>
      </c>
      <c r="K19" s="1" t="str">
        <f>IF(Table1[[#This Row],[Resolution_Time_Hours]]="null", "null", IF( Table1[[#This Row],[Resolution_Time_Hours]] &gt; Table1[[#This Row],[SLA_Hours]],"Yes","No"))</f>
        <v>null</v>
      </c>
    </row>
    <row r="20" spans="1:11" x14ac:dyDescent="0.25">
      <c r="A20" s="1" t="s">
        <v>61</v>
      </c>
      <c r="B20" s="1" t="s">
        <v>62</v>
      </c>
      <c r="C20" s="1" t="s">
        <v>48</v>
      </c>
      <c r="D20" s="1" t="s">
        <v>20</v>
      </c>
      <c r="E20" s="1">
        <v>24</v>
      </c>
      <c r="F20" s="2">
        <v>46035.083333333336</v>
      </c>
      <c r="G20" s="2">
        <v>46038.25</v>
      </c>
      <c r="H20" s="1" t="s">
        <v>15</v>
      </c>
      <c r="I20" s="1" t="s">
        <v>36</v>
      </c>
      <c r="J20" s="5">
        <f>IF(Table1[[#This Row],[Ticket_Close_Date]] = "null", "null",((Table1[[#This Row],[Ticket_Close_Date]] - Table1[[#This Row],[Ticket_Open_Date]])*24))</f>
        <v>75.999999999941792</v>
      </c>
      <c r="K20" s="1" t="str">
        <f>IF(Table1[[#This Row],[Resolution_Time_Hours]]="null", "null", IF( Table1[[#This Row],[Resolution_Time_Hours]] &gt; Table1[[#This Row],[SLA_Hours]],"Yes","No"))</f>
        <v>Yes</v>
      </c>
    </row>
    <row r="21" spans="1:11" x14ac:dyDescent="0.25">
      <c r="A21" s="1" t="s">
        <v>63</v>
      </c>
      <c r="B21" s="1" t="s">
        <v>40</v>
      </c>
      <c r="C21" s="1" t="s">
        <v>48</v>
      </c>
      <c r="D21" s="1" t="s">
        <v>14</v>
      </c>
      <c r="E21" s="1">
        <v>72</v>
      </c>
      <c r="F21" s="2">
        <v>46027.25</v>
      </c>
      <c r="G21" s="2" t="s">
        <v>243</v>
      </c>
      <c r="H21" s="1" t="s">
        <v>35</v>
      </c>
      <c r="I21" s="1" t="s">
        <v>21</v>
      </c>
      <c r="J21" s="5" t="str">
        <f>IF(Table1[[#This Row],[Ticket_Close_Date]] = "null", "null",((Table1[[#This Row],[Ticket_Close_Date]] - Table1[[#This Row],[Ticket_Open_Date]])*24))</f>
        <v>null</v>
      </c>
      <c r="K21" s="1" t="str">
        <f>IF(Table1[[#This Row],[Resolution_Time_Hours]]="null", "null", IF( Table1[[#This Row],[Resolution_Time_Hours]] &gt; Table1[[#This Row],[SLA_Hours]],"Yes","No"))</f>
        <v>null</v>
      </c>
    </row>
    <row r="22" spans="1:11" x14ac:dyDescent="0.25">
      <c r="A22" s="1" t="s">
        <v>64</v>
      </c>
      <c r="B22" s="1" t="s">
        <v>65</v>
      </c>
      <c r="C22" s="1" t="s">
        <v>13</v>
      </c>
      <c r="D22" s="1" t="s">
        <v>20</v>
      </c>
      <c r="E22" s="1">
        <v>24</v>
      </c>
      <c r="F22" s="2">
        <v>46028.666666666664</v>
      </c>
      <c r="G22" s="2">
        <v>46030.875</v>
      </c>
      <c r="H22" s="1" t="s">
        <v>15</v>
      </c>
      <c r="I22" s="1" t="s">
        <v>21</v>
      </c>
      <c r="J22" s="5">
        <f>IF(Table1[[#This Row],[Ticket_Close_Date]] = "null", "null",((Table1[[#This Row],[Ticket_Close_Date]] - Table1[[#This Row],[Ticket_Open_Date]])*24))</f>
        <v>53.000000000058208</v>
      </c>
      <c r="K22" s="1" t="str">
        <f>IF(Table1[[#This Row],[Resolution_Time_Hours]]="null", "null", IF( Table1[[#This Row],[Resolution_Time_Hours]] &gt; Table1[[#This Row],[SLA_Hours]],"Yes","No"))</f>
        <v>Yes</v>
      </c>
    </row>
    <row r="23" spans="1:11" x14ac:dyDescent="0.25">
      <c r="A23" s="1" t="s">
        <v>66</v>
      </c>
      <c r="B23" s="1" t="s">
        <v>67</v>
      </c>
      <c r="C23" s="1" t="s">
        <v>13</v>
      </c>
      <c r="D23" s="1" t="s">
        <v>20</v>
      </c>
      <c r="E23" s="1">
        <v>24</v>
      </c>
      <c r="F23" s="2">
        <v>46027.416666666664</v>
      </c>
      <c r="G23" s="2">
        <v>46030.333333333336</v>
      </c>
      <c r="H23" s="1" t="s">
        <v>15</v>
      </c>
      <c r="I23" s="1" t="s">
        <v>16</v>
      </c>
      <c r="J23" s="5">
        <f>IF(Table1[[#This Row],[Ticket_Close_Date]] = "null", "null",((Table1[[#This Row],[Ticket_Close_Date]] - Table1[[#This Row],[Ticket_Open_Date]])*24))</f>
        <v>70.000000000116415</v>
      </c>
      <c r="K23" s="1" t="str">
        <f>IF(Table1[[#This Row],[Resolution_Time_Hours]]="null", "null", IF( Table1[[#This Row],[Resolution_Time_Hours]] &gt; Table1[[#This Row],[SLA_Hours]],"Yes","No"))</f>
        <v>Yes</v>
      </c>
    </row>
    <row r="24" spans="1:11" x14ac:dyDescent="0.25">
      <c r="A24" s="1" t="s">
        <v>68</v>
      </c>
      <c r="B24" s="1" t="s">
        <v>69</v>
      </c>
      <c r="C24" s="1" t="s">
        <v>19</v>
      </c>
      <c r="D24" s="1" t="s">
        <v>30</v>
      </c>
      <c r="E24" s="1">
        <v>48</v>
      </c>
      <c r="F24" s="2">
        <v>46027.333333333336</v>
      </c>
      <c r="G24" s="2">
        <v>46029.041666666664</v>
      </c>
      <c r="H24" s="1" t="s">
        <v>15</v>
      </c>
      <c r="I24" s="1" t="s">
        <v>21</v>
      </c>
      <c r="J24" s="5">
        <f>IF(Table1[[#This Row],[Ticket_Close_Date]] = "null", "null",((Table1[[#This Row],[Ticket_Close_Date]] - Table1[[#This Row],[Ticket_Open_Date]])*24))</f>
        <v>40.999999999883585</v>
      </c>
      <c r="K24" s="1" t="str">
        <f>IF(Table1[[#This Row],[Resolution_Time_Hours]]="null", "null", IF( Table1[[#This Row],[Resolution_Time_Hours]] &gt; Table1[[#This Row],[SLA_Hours]],"Yes","No"))</f>
        <v>No</v>
      </c>
    </row>
    <row r="25" spans="1:11" x14ac:dyDescent="0.25">
      <c r="A25" s="1" t="s">
        <v>70</v>
      </c>
      <c r="B25" s="1" t="s">
        <v>71</v>
      </c>
      <c r="C25" s="1" t="s">
        <v>43</v>
      </c>
      <c r="D25" s="1" t="s">
        <v>20</v>
      </c>
      <c r="E25" s="1">
        <v>24</v>
      </c>
      <c r="F25" s="2">
        <v>46025.75</v>
      </c>
      <c r="G25" s="2">
        <v>46028.083333333336</v>
      </c>
      <c r="H25" s="1" t="s">
        <v>15</v>
      </c>
      <c r="I25" s="1" t="s">
        <v>25</v>
      </c>
      <c r="J25" s="5">
        <f>IF(Table1[[#This Row],[Ticket_Close_Date]] = "null", "null",((Table1[[#This Row],[Ticket_Close_Date]] - Table1[[#This Row],[Ticket_Open_Date]])*24))</f>
        <v>56.000000000058208</v>
      </c>
      <c r="K25" s="1" t="str">
        <f>IF(Table1[[#This Row],[Resolution_Time_Hours]]="null", "null", IF( Table1[[#This Row],[Resolution_Time_Hours]] &gt; Table1[[#This Row],[SLA_Hours]],"Yes","No"))</f>
        <v>Yes</v>
      </c>
    </row>
    <row r="26" spans="1:11" x14ac:dyDescent="0.25">
      <c r="A26" s="1" t="s">
        <v>72</v>
      </c>
      <c r="B26" s="1" t="s">
        <v>32</v>
      </c>
      <c r="C26" s="1" t="s">
        <v>48</v>
      </c>
      <c r="D26" s="1" t="s">
        <v>14</v>
      </c>
      <c r="E26" s="1">
        <v>72</v>
      </c>
      <c r="F26" s="2">
        <v>46035.125</v>
      </c>
      <c r="G26" s="2" t="s">
        <v>243</v>
      </c>
      <c r="H26" s="1" t="s">
        <v>35</v>
      </c>
      <c r="I26" s="1" t="s">
        <v>16</v>
      </c>
      <c r="J26" s="5" t="str">
        <f>IF(Table1[[#This Row],[Ticket_Close_Date]] = "null", "null",((Table1[[#This Row],[Ticket_Close_Date]] - Table1[[#This Row],[Ticket_Open_Date]])*24))</f>
        <v>null</v>
      </c>
      <c r="K26" s="1" t="str">
        <f>IF(Table1[[#This Row],[Resolution_Time_Hours]]="null", "null", IF( Table1[[#This Row],[Resolution_Time_Hours]] &gt; Table1[[#This Row],[SLA_Hours]],"Yes","No"))</f>
        <v>null</v>
      </c>
    </row>
    <row r="27" spans="1:11" x14ac:dyDescent="0.25">
      <c r="A27" s="1" t="s">
        <v>73</v>
      </c>
      <c r="B27" s="1" t="s">
        <v>74</v>
      </c>
      <c r="C27" s="1" t="s">
        <v>43</v>
      </c>
      <c r="D27" s="1" t="s">
        <v>30</v>
      </c>
      <c r="E27" s="1">
        <v>48</v>
      </c>
      <c r="F27" s="2">
        <v>46033.041666666664</v>
      </c>
      <c r="G27" s="2">
        <v>46035.125</v>
      </c>
      <c r="H27" s="1" t="s">
        <v>15</v>
      </c>
      <c r="I27" s="1" t="s">
        <v>21</v>
      </c>
      <c r="J27" s="5">
        <f>IF(Table1[[#This Row],[Ticket_Close_Date]] = "null", "null",((Table1[[#This Row],[Ticket_Close_Date]] - Table1[[#This Row],[Ticket_Open_Date]])*24))</f>
        <v>50.000000000058208</v>
      </c>
      <c r="K27" s="1" t="str">
        <f>IF(Table1[[#This Row],[Resolution_Time_Hours]]="null", "null", IF( Table1[[#This Row],[Resolution_Time_Hours]] &gt; Table1[[#This Row],[SLA_Hours]],"Yes","No"))</f>
        <v>Yes</v>
      </c>
    </row>
    <row r="28" spans="1:11" x14ac:dyDescent="0.25">
      <c r="A28" s="1" t="s">
        <v>75</v>
      </c>
      <c r="B28" s="1" t="s">
        <v>76</v>
      </c>
      <c r="C28" s="1" t="s">
        <v>13</v>
      </c>
      <c r="D28" s="1" t="s">
        <v>20</v>
      </c>
      <c r="E28" s="1">
        <v>24</v>
      </c>
      <c r="F28" s="2">
        <v>46026.166666666664</v>
      </c>
      <c r="G28" s="2">
        <v>46027.708333333336</v>
      </c>
      <c r="H28" s="1" t="s">
        <v>15</v>
      </c>
      <c r="I28" s="1" t="s">
        <v>25</v>
      </c>
      <c r="J28" s="5">
        <f>IF(Table1[[#This Row],[Ticket_Close_Date]] = "null", "null",((Table1[[#This Row],[Ticket_Close_Date]] - Table1[[#This Row],[Ticket_Open_Date]])*24))</f>
        <v>37.000000000116415</v>
      </c>
      <c r="K28" s="1" t="str">
        <f>IF(Table1[[#This Row],[Resolution_Time_Hours]]="null", "null", IF( Table1[[#This Row],[Resolution_Time_Hours]] &gt; Table1[[#This Row],[SLA_Hours]],"Yes","No"))</f>
        <v>Yes</v>
      </c>
    </row>
    <row r="29" spans="1:11" x14ac:dyDescent="0.25">
      <c r="A29" s="1" t="s">
        <v>77</v>
      </c>
      <c r="B29" s="1" t="s">
        <v>78</v>
      </c>
      <c r="C29" s="1" t="s">
        <v>43</v>
      </c>
      <c r="D29" s="1" t="s">
        <v>30</v>
      </c>
      <c r="E29" s="1">
        <v>48</v>
      </c>
      <c r="F29" s="2">
        <v>46026.375</v>
      </c>
      <c r="G29" s="2" t="s">
        <v>243</v>
      </c>
      <c r="H29" s="1" t="s">
        <v>35</v>
      </c>
      <c r="I29" s="1" t="s">
        <v>21</v>
      </c>
      <c r="J29" s="5" t="str">
        <f>IF(Table1[[#This Row],[Ticket_Close_Date]] = "null", "null",((Table1[[#This Row],[Ticket_Close_Date]] - Table1[[#This Row],[Ticket_Open_Date]])*24))</f>
        <v>null</v>
      </c>
      <c r="K29" s="1" t="str">
        <f>IF(Table1[[#This Row],[Resolution_Time_Hours]]="null", "null", IF( Table1[[#This Row],[Resolution_Time_Hours]] &gt; Table1[[#This Row],[SLA_Hours]],"Yes","No"))</f>
        <v>null</v>
      </c>
    </row>
    <row r="30" spans="1:11" x14ac:dyDescent="0.25">
      <c r="A30" s="1" t="s">
        <v>79</v>
      </c>
      <c r="B30" s="1" t="s">
        <v>80</v>
      </c>
      <c r="C30" s="1" t="s">
        <v>13</v>
      </c>
      <c r="D30" s="1" t="s">
        <v>14</v>
      </c>
      <c r="E30" s="1">
        <v>72</v>
      </c>
      <c r="F30" s="2">
        <v>46026.083333333336</v>
      </c>
      <c r="G30" s="2">
        <v>46027.708333333336</v>
      </c>
      <c r="H30" s="1" t="s">
        <v>15</v>
      </c>
      <c r="I30" s="1" t="s">
        <v>21</v>
      </c>
      <c r="J30" s="5">
        <f>IF(Table1[[#This Row],[Ticket_Close_Date]] = "null", "null",((Table1[[#This Row],[Ticket_Close_Date]] - Table1[[#This Row],[Ticket_Open_Date]])*24))</f>
        <v>39</v>
      </c>
      <c r="K30" s="1" t="str">
        <f>IF(Table1[[#This Row],[Resolution_Time_Hours]]="null", "null", IF( Table1[[#This Row],[Resolution_Time_Hours]] &gt; Table1[[#This Row],[SLA_Hours]],"Yes","No"))</f>
        <v>No</v>
      </c>
    </row>
    <row r="31" spans="1:11" x14ac:dyDescent="0.25">
      <c r="A31" s="1" t="s">
        <v>81</v>
      </c>
      <c r="B31" s="1" t="s">
        <v>82</v>
      </c>
      <c r="C31" s="1" t="s">
        <v>24</v>
      </c>
      <c r="D31" s="1" t="s">
        <v>30</v>
      </c>
      <c r="E31" s="1">
        <v>48</v>
      </c>
      <c r="F31" s="2">
        <v>46024.083333333336</v>
      </c>
      <c r="G31" s="2" t="s">
        <v>243</v>
      </c>
      <c r="H31" s="1" t="s">
        <v>35</v>
      </c>
      <c r="I31" s="1" t="s">
        <v>25</v>
      </c>
      <c r="J31" s="5" t="str">
        <f>IF(Table1[[#This Row],[Ticket_Close_Date]] = "null", "null",((Table1[[#This Row],[Ticket_Close_Date]] - Table1[[#This Row],[Ticket_Open_Date]])*24))</f>
        <v>null</v>
      </c>
      <c r="K31" s="1" t="str">
        <f>IF(Table1[[#This Row],[Resolution_Time_Hours]]="null", "null", IF( Table1[[#This Row],[Resolution_Time_Hours]] &gt; Table1[[#This Row],[SLA_Hours]],"Yes","No"))</f>
        <v>null</v>
      </c>
    </row>
    <row r="32" spans="1:11" x14ac:dyDescent="0.25">
      <c r="A32" s="1" t="s">
        <v>83</v>
      </c>
      <c r="B32" s="1" t="s">
        <v>84</v>
      </c>
      <c r="C32" s="1" t="s">
        <v>48</v>
      </c>
      <c r="D32" s="1" t="s">
        <v>30</v>
      </c>
      <c r="E32" s="1">
        <v>48</v>
      </c>
      <c r="F32" s="2">
        <v>46033.083333333336</v>
      </c>
      <c r="G32" s="2">
        <v>46035.375</v>
      </c>
      <c r="H32" s="1" t="s">
        <v>15</v>
      </c>
      <c r="I32" s="1" t="s">
        <v>25</v>
      </c>
      <c r="J32" s="5">
        <f>IF(Table1[[#This Row],[Ticket_Close_Date]] = "null", "null",((Table1[[#This Row],[Ticket_Close_Date]] - Table1[[#This Row],[Ticket_Open_Date]])*24))</f>
        <v>54.999999999941792</v>
      </c>
      <c r="K32" s="1" t="str">
        <f>IF(Table1[[#This Row],[Resolution_Time_Hours]]="null", "null", IF( Table1[[#This Row],[Resolution_Time_Hours]] &gt; Table1[[#This Row],[SLA_Hours]],"Yes","No"))</f>
        <v>Yes</v>
      </c>
    </row>
    <row r="33" spans="1:11" x14ac:dyDescent="0.25">
      <c r="A33" s="1" t="s">
        <v>85</v>
      </c>
      <c r="B33" s="1" t="s">
        <v>86</v>
      </c>
      <c r="C33" s="1" t="s">
        <v>48</v>
      </c>
      <c r="D33" s="1" t="s">
        <v>30</v>
      </c>
      <c r="E33" s="1">
        <v>48</v>
      </c>
      <c r="F33" s="2">
        <v>46028.125</v>
      </c>
      <c r="G33" s="2" t="s">
        <v>243</v>
      </c>
      <c r="H33" s="1" t="s">
        <v>35</v>
      </c>
      <c r="I33" s="1" t="s">
        <v>16</v>
      </c>
      <c r="J33" s="5" t="str">
        <f>IF(Table1[[#This Row],[Ticket_Close_Date]] = "null", "null",((Table1[[#This Row],[Ticket_Close_Date]] - Table1[[#This Row],[Ticket_Open_Date]])*24))</f>
        <v>null</v>
      </c>
      <c r="K33" s="1" t="str">
        <f>IF(Table1[[#This Row],[Resolution_Time_Hours]]="null", "null", IF( Table1[[#This Row],[Resolution_Time_Hours]] &gt; Table1[[#This Row],[SLA_Hours]],"Yes","No"))</f>
        <v>null</v>
      </c>
    </row>
    <row r="34" spans="1:11" x14ac:dyDescent="0.25">
      <c r="A34" s="1" t="s">
        <v>87</v>
      </c>
      <c r="B34" s="1" t="s">
        <v>88</v>
      </c>
      <c r="C34" s="1" t="s">
        <v>24</v>
      </c>
      <c r="D34" s="1" t="s">
        <v>20</v>
      </c>
      <c r="E34" s="1">
        <v>24</v>
      </c>
      <c r="F34" s="2">
        <v>46032.583333333336</v>
      </c>
      <c r="G34" s="2" t="s">
        <v>243</v>
      </c>
      <c r="H34" s="1" t="s">
        <v>35</v>
      </c>
      <c r="I34" s="1" t="s">
        <v>36</v>
      </c>
      <c r="J34" s="5" t="str">
        <f>IF(Table1[[#This Row],[Ticket_Close_Date]] = "null", "null",((Table1[[#This Row],[Ticket_Close_Date]] - Table1[[#This Row],[Ticket_Open_Date]])*24))</f>
        <v>null</v>
      </c>
      <c r="K34" s="1" t="str">
        <f>IF(Table1[[#This Row],[Resolution_Time_Hours]]="null", "null", IF( Table1[[#This Row],[Resolution_Time_Hours]] &gt; Table1[[#This Row],[SLA_Hours]],"Yes","No"))</f>
        <v>null</v>
      </c>
    </row>
    <row r="35" spans="1:11" x14ac:dyDescent="0.25">
      <c r="A35" s="1" t="s">
        <v>89</v>
      </c>
      <c r="B35" s="1" t="s">
        <v>90</v>
      </c>
      <c r="C35" s="1" t="s">
        <v>43</v>
      </c>
      <c r="D35" s="1" t="s">
        <v>20</v>
      </c>
      <c r="E35" s="1">
        <v>24</v>
      </c>
      <c r="F35" s="2">
        <v>46032.25</v>
      </c>
      <c r="G35" s="2" t="s">
        <v>243</v>
      </c>
      <c r="H35" s="1" t="s">
        <v>35</v>
      </c>
      <c r="I35" s="1" t="s">
        <v>36</v>
      </c>
      <c r="J35" s="5" t="str">
        <f>IF(Table1[[#This Row],[Ticket_Close_Date]] = "null", "null",((Table1[[#This Row],[Ticket_Close_Date]] - Table1[[#This Row],[Ticket_Open_Date]])*24))</f>
        <v>null</v>
      </c>
      <c r="K35" s="1" t="str">
        <f>IF(Table1[[#This Row],[Resolution_Time_Hours]]="null", "null", IF( Table1[[#This Row],[Resolution_Time_Hours]] &gt; Table1[[#This Row],[SLA_Hours]],"Yes","No"))</f>
        <v>null</v>
      </c>
    </row>
    <row r="36" spans="1:11" x14ac:dyDescent="0.25">
      <c r="A36" s="1" t="s">
        <v>91</v>
      </c>
      <c r="B36" s="1" t="s">
        <v>92</v>
      </c>
      <c r="C36" s="1" t="s">
        <v>43</v>
      </c>
      <c r="D36" s="1" t="s">
        <v>14</v>
      </c>
      <c r="E36" s="1">
        <v>72</v>
      </c>
      <c r="F36" s="2">
        <v>46024.875</v>
      </c>
      <c r="G36" s="2">
        <v>46025.708333333336</v>
      </c>
      <c r="H36" s="1" t="s">
        <v>15</v>
      </c>
      <c r="I36" s="1" t="s">
        <v>36</v>
      </c>
      <c r="J36" s="5">
        <f>IF(Table1[[#This Row],[Ticket_Close_Date]] = "null", "null",((Table1[[#This Row],[Ticket_Close_Date]] - Table1[[#This Row],[Ticket_Open_Date]])*24))</f>
        <v>20.000000000058208</v>
      </c>
      <c r="K36" s="1" t="str">
        <f>IF(Table1[[#This Row],[Resolution_Time_Hours]]="null", "null", IF( Table1[[#This Row],[Resolution_Time_Hours]] &gt; Table1[[#This Row],[SLA_Hours]],"Yes","No"))</f>
        <v>No</v>
      </c>
    </row>
    <row r="37" spans="1:11" x14ac:dyDescent="0.25">
      <c r="A37" s="1" t="s">
        <v>93</v>
      </c>
      <c r="B37" s="1" t="s">
        <v>94</v>
      </c>
      <c r="C37" s="1" t="s">
        <v>43</v>
      </c>
      <c r="D37" s="1" t="s">
        <v>20</v>
      </c>
      <c r="E37" s="1">
        <v>24</v>
      </c>
      <c r="F37" s="2">
        <v>46030.166666666664</v>
      </c>
      <c r="G37" s="2" t="s">
        <v>243</v>
      </c>
      <c r="H37" s="1" t="s">
        <v>35</v>
      </c>
      <c r="I37" s="1" t="s">
        <v>25</v>
      </c>
      <c r="J37" s="5" t="str">
        <f>IF(Table1[[#This Row],[Ticket_Close_Date]] = "null", "null",((Table1[[#This Row],[Ticket_Close_Date]] - Table1[[#This Row],[Ticket_Open_Date]])*24))</f>
        <v>null</v>
      </c>
      <c r="K37" s="1" t="str">
        <f>IF(Table1[[#This Row],[Resolution_Time_Hours]]="null", "null", IF( Table1[[#This Row],[Resolution_Time_Hours]] &gt; Table1[[#This Row],[SLA_Hours]],"Yes","No"))</f>
        <v>null</v>
      </c>
    </row>
    <row r="38" spans="1:11" x14ac:dyDescent="0.25">
      <c r="A38" s="1" t="s">
        <v>95</v>
      </c>
      <c r="B38" s="1" t="s">
        <v>96</v>
      </c>
      <c r="C38" s="1" t="s">
        <v>13</v>
      </c>
      <c r="D38" s="1" t="s">
        <v>30</v>
      </c>
      <c r="E38" s="1">
        <v>48</v>
      </c>
      <c r="F38" s="2">
        <v>46032</v>
      </c>
      <c r="G38" s="2">
        <v>46034.208333333336</v>
      </c>
      <c r="H38" s="1" t="s">
        <v>15</v>
      </c>
      <c r="I38" s="1" t="s">
        <v>49</v>
      </c>
      <c r="J38" s="5">
        <f>IF(Table1[[#This Row],[Ticket_Close_Date]] = "null", "null",((Table1[[#This Row],[Ticket_Close_Date]] - Table1[[#This Row],[Ticket_Open_Date]])*24))</f>
        <v>53.000000000058208</v>
      </c>
      <c r="K38" s="1" t="str">
        <f>IF(Table1[[#This Row],[Resolution_Time_Hours]]="null", "null", IF( Table1[[#This Row],[Resolution_Time_Hours]] &gt; Table1[[#This Row],[SLA_Hours]],"Yes","No"))</f>
        <v>Yes</v>
      </c>
    </row>
    <row r="39" spans="1:11" x14ac:dyDescent="0.25">
      <c r="A39" s="1" t="s">
        <v>97</v>
      </c>
      <c r="B39" s="1" t="s">
        <v>98</v>
      </c>
      <c r="C39" s="1" t="s">
        <v>19</v>
      </c>
      <c r="D39" s="1" t="s">
        <v>14</v>
      </c>
      <c r="E39" s="1">
        <v>72</v>
      </c>
      <c r="F39" s="2">
        <v>46030.333333333336</v>
      </c>
      <c r="G39" s="2">
        <v>46032.5</v>
      </c>
      <c r="H39" s="1" t="s">
        <v>15</v>
      </c>
      <c r="I39" s="1" t="s">
        <v>21</v>
      </c>
      <c r="J39" s="5">
        <f>IF(Table1[[#This Row],[Ticket_Close_Date]] = "null", "null",((Table1[[#This Row],[Ticket_Close_Date]] - Table1[[#This Row],[Ticket_Open_Date]])*24))</f>
        <v>51.999999999941792</v>
      </c>
      <c r="K39" s="1" t="str">
        <f>IF(Table1[[#This Row],[Resolution_Time_Hours]]="null", "null", IF( Table1[[#This Row],[Resolution_Time_Hours]] &gt; Table1[[#This Row],[SLA_Hours]],"Yes","No"))</f>
        <v>No</v>
      </c>
    </row>
    <row r="40" spans="1:11" x14ac:dyDescent="0.25">
      <c r="A40" s="1" t="s">
        <v>99</v>
      </c>
      <c r="B40" s="1" t="s">
        <v>88</v>
      </c>
      <c r="C40" s="1" t="s">
        <v>48</v>
      </c>
      <c r="D40" s="1" t="s">
        <v>14</v>
      </c>
      <c r="E40" s="1">
        <v>72</v>
      </c>
      <c r="F40" s="2">
        <v>46024.333333333336</v>
      </c>
      <c r="G40" s="2">
        <v>46026.708333333336</v>
      </c>
      <c r="H40" s="1" t="s">
        <v>15</v>
      </c>
      <c r="I40" s="1" t="s">
        <v>49</v>
      </c>
      <c r="J40" s="5">
        <f>IF(Table1[[#This Row],[Ticket_Close_Date]] = "null", "null",((Table1[[#This Row],[Ticket_Close_Date]] - Table1[[#This Row],[Ticket_Open_Date]])*24))</f>
        <v>57</v>
      </c>
      <c r="K40" s="1" t="str">
        <f>IF(Table1[[#This Row],[Resolution_Time_Hours]]="null", "null", IF( Table1[[#This Row],[Resolution_Time_Hours]] &gt; Table1[[#This Row],[SLA_Hours]],"Yes","No"))</f>
        <v>No</v>
      </c>
    </row>
    <row r="41" spans="1:11" x14ac:dyDescent="0.25">
      <c r="A41" s="1" t="s">
        <v>100</v>
      </c>
      <c r="B41" s="1" t="s">
        <v>101</v>
      </c>
      <c r="C41" s="1" t="s">
        <v>48</v>
      </c>
      <c r="D41" s="1" t="s">
        <v>20</v>
      </c>
      <c r="E41" s="1">
        <v>24</v>
      </c>
      <c r="F41" s="2">
        <v>46026.791666666664</v>
      </c>
      <c r="G41" s="2" t="s">
        <v>243</v>
      </c>
      <c r="H41" s="1" t="s">
        <v>35</v>
      </c>
      <c r="I41" s="1" t="s">
        <v>25</v>
      </c>
      <c r="J41" s="5" t="str">
        <f>IF(Table1[[#This Row],[Ticket_Close_Date]] = "null", "null",((Table1[[#This Row],[Ticket_Close_Date]] - Table1[[#This Row],[Ticket_Open_Date]])*24))</f>
        <v>null</v>
      </c>
      <c r="K41" s="1" t="str">
        <f>IF(Table1[[#This Row],[Resolution_Time_Hours]]="null", "null", IF( Table1[[#This Row],[Resolution_Time_Hours]] &gt; Table1[[#This Row],[SLA_Hours]],"Yes","No"))</f>
        <v>null</v>
      </c>
    </row>
    <row r="42" spans="1:11" x14ac:dyDescent="0.25">
      <c r="A42" s="1" t="s">
        <v>102</v>
      </c>
      <c r="B42" s="1" t="s">
        <v>103</v>
      </c>
      <c r="C42" s="1" t="s">
        <v>24</v>
      </c>
      <c r="D42" s="1" t="s">
        <v>14</v>
      </c>
      <c r="E42" s="1">
        <v>72</v>
      </c>
      <c r="F42" s="2">
        <v>46023.458333333336</v>
      </c>
      <c r="G42" s="2" t="s">
        <v>243</v>
      </c>
      <c r="H42" s="1" t="s">
        <v>35</v>
      </c>
      <c r="I42" s="1" t="s">
        <v>25</v>
      </c>
      <c r="J42" s="5" t="str">
        <f>IF(Table1[[#This Row],[Ticket_Close_Date]] = "null", "null",((Table1[[#This Row],[Ticket_Close_Date]] - Table1[[#This Row],[Ticket_Open_Date]])*24))</f>
        <v>null</v>
      </c>
      <c r="K42" s="1" t="str">
        <f>IF(Table1[[#This Row],[Resolution_Time_Hours]]="null", "null", IF( Table1[[#This Row],[Resolution_Time_Hours]] &gt; Table1[[#This Row],[SLA_Hours]],"Yes","No"))</f>
        <v>null</v>
      </c>
    </row>
    <row r="43" spans="1:11" x14ac:dyDescent="0.25">
      <c r="A43" s="1" t="s">
        <v>104</v>
      </c>
      <c r="B43" s="1" t="s">
        <v>105</v>
      </c>
      <c r="C43" s="1" t="s">
        <v>43</v>
      </c>
      <c r="D43" s="1" t="s">
        <v>30</v>
      </c>
      <c r="E43" s="1">
        <v>48</v>
      </c>
      <c r="F43" s="2">
        <v>46035.666666666664</v>
      </c>
      <c r="G43" s="2">
        <v>46038.125</v>
      </c>
      <c r="H43" s="1" t="s">
        <v>15</v>
      </c>
      <c r="I43" s="1" t="s">
        <v>21</v>
      </c>
      <c r="J43" s="5">
        <f>IF(Table1[[#This Row],[Ticket_Close_Date]] = "null", "null",((Table1[[#This Row],[Ticket_Close_Date]] - Table1[[#This Row],[Ticket_Open_Date]])*24))</f>
        <v>59.000000000058208</v>
      </c>
      <c r="K43" s="1" t="str">
        <f>IF(Table1[[#This Row],[Resolution_Time_Hours]]="null", "null", IF( Table1[[#This Row],[Resolution_Time_Hours]] &gt; Table1[[#This Row],[SLA_Hours]],"Yes","No"))</f>
        <v>Yes</v>
      </c>
    </row>
    <row r="44" spans="1:11" x14ac:dyDescent="0.25">
      <c r="A44" s="1" t="s">
        <v>106</v>
      </c>
      <c r="B44" s="1" t="s">
        <v>107</v>
      </c>
      <c r="C44" s="1" t="s">
        <v>48</v>
      </c>
      <c r="D44" s="1" t="s">
        <v>20</v>
      </c>
      <c r="E44" s="1">
        <v>24</v>
      </c>
      <c r="F44" s="2">
        <v>46032.166666666664</v>
      </c>
      <c r="G44" s="2">
        <v>46032.833333333336</v>
      </c>
      <c r="H44" s="1" t="s">
        <v>15</v>
      </c>
      <c r="I44" s="1" t="s">
        <v>25</v>
      </c>
      <c r="J44" s="5">
        <f>IF(Table1[[#This Row],[Ticket_Close_Date]] = "null", "null",((Table1[[#This Row],[Ticket_Close_Date]] - Table1[[#This Row],[Ticket_Open_Date]])*24))</f>
        <v>16.000000000116415</v>
      </c>
      <c r="K44" s="1" t="str">
        <f>IF(Table1[[#This Row],[Resolution_Time_Hours]]="null", "null", IF( Table1[[#This Row],[Resolution_Time_Hours]] &gt; Table1[[#This Row],[SLA_Hours]],"Yes","No"))</f>
        <v>No</v>
      </c>
    </row>
    <row r="45" spans="1:11" x14ac:dyDescent="0.25">
      <c r="A45" s="1" t="s">
        <v>108</v>
      </c>
      <c r="B45" s="1" t="s">
        <v>109</v>
      </c>
      <c r="C45" s="1" t="s">
        <v>19</v>
      </c>
      <c r="D45" s="1" t="s">
        <v>14</v>
      </c>
      <c r="E45" s="1">
        <v>72</v>
      </c>
      <c r="F45" s="2">
        <v>46024.291666666664</v>
      </c>
      <c r="G45" s="2">
        <v>46026.958333333336</v>
      </c>
      <c r="H45" s="1" t="s">
        <v>15</v>
      </c>
      <c r="I45" s="1" t="s">
        <v>49</v>
      </c>
      <c r="J45" s="5">
        <f>IF(Table1[[#This Row],[Ticket_Close_Date]] = "null", "null",((Table1[[#This Row],[Ticket_Close_Date]] - Table1[[#This Row],[Ticket_Open_Date]])*24))</f>
        <v>64.000000000116415</v>
      </c>
      <c r="K45" s="1" t="str">
        <f>IF(Table1[[#This Row],[Resolution_Time_Hours]]="null", "null", IF( Table1[[#This Row],[Resolution_Time_Hours]] &gt; Table1[[#This Row],[SLA_Hours]],"Yes","No"))</f>
        <v>No</v>
      </c>
    </row>
    <row r="46" spans="1:11" x14ac:dyDescent="0.25">
      <c r="A46" s="1" t="s">
        <v>110</v>
      </c>
      <c r="B46" s="1" t="s">
        <v>111</v>
      </c>
      <c r="C46" s="1" t="s">
        <v>48</v>
      </c>
      <c r="D46" s="1" t="s">
        <v>20</v>
      </c>
      <c r="E46" s="1">
        <v>24</v>
      </c>
      <c r="F46" s="2">
        <v>46031.75</v>
      </c>
      <c r="G46" s="2" t="s">
        <v>243</v>
      </c>
      <c r="H46" s="1" t="s">
        <v>35</v>
      </c>
      <c r="I46" s="1" t="s">
        <v>21</v>
      </c>
      <c r="J46" s="5" t="str">
        <f>IF(Table1[[#This Row],[Ticket_Close_Date]] = "null", "null",((Table1[[#This Row],[Ticket_Close_Date]] - Table1[[#This Row],[Ticket_Open_Date]])*24))</f>
        <v>null</v>
      </c>
      <c r="K46" s="1" t="str">
        <f>IF(Table1[[#This Row],[Resolution_Time_Hours]]="null", "null", IF( Table1[[#This Row],[Resolution_Time_Hours]] &gt; Table1[[#This Row],[SLA_Hours]],"Yes","No"))</f>
        <v>null</v>
      </c>
    </row>
    <row r="47" spans="1:11" x14ac:dyDescent="0.25">
      <c r="A47" s="1" t="s">
        <v>112</v>
      </c>
      <c r="B47" s="1" t="s">
        <v>23</v>
      </c>
      <c r="C47" s="1" t="s">
        <v>13</v>
      </c>
      <c r="D47" s="1" t="s">
        <v>30</v>
      </c>
      <c r="E47" s="1">
        <v>48</v>
      </c>
      <c r="F47" s="2">
        <v>46025.083333333336</v>
      </c>
      <c r="G47" s="2" t="s">
        <v>243</v>
      </c>
      <c r="H47" s="1" t="s">
        <v>35</v>
      </c>
      <c r="I47" s="1" t="s">
        <v>36</v>
      </c>
      <c r="J47" s="5" t="str">
        <f>IF(Table1[[#This Row],[Ticket_Close_Date]] = "null", "null",((Table1[[#This Row],[Ticket_Close_Date]] - Table1[[#This Row],[Ticket_Open_Date]])*24))</f>
        <v>null</v>
      </c>
      <c r="K47" s="1" t="str">
        <f>IF(Table1[[#This Row],[Resolution_Time_Hours]]="null", "null", IF( Table1[[#This Row],[Resolution_Time_Hours]] &gt; Table1[[#This Row],[SLA_Hours]],"Yes","No"))</f>
        <v>null</v>
      </c>
    </row>
    <row r="48" spans="1:11" x14ac:dyDescent="0.25">
      <c r="A48" s="1" t="s">
        <v>113</v>
      </c>
      <c r="B48" s="1" t="s">
        <v>114</v>
      </c>
      <c r="C48" s="1" t="s">
        <v>43</v>
      </c>
      <c r="D48" s="1" t="s">
        <v>20</v>
      </c>
      <c r="E48" s="1">
        <v>24</v>
      </c>
      <c r="F48" s="2">
        <v>46032.458333333336</v>
      </c>
      <c r="G48" s="2">
        <v>46034.916666666664</v>
      </c>
      <c r="H48" s="1" t="s">
        <v>15</v>
      </c>
      <c r="I48" s="1" t="s">
        <v>21</v>
      </c>
      <c r="J48" s="5">
        <f>IF(Table1[[#This Row],[Ticket_Close_Date]] = "null", "null",((Table1[[#This Row],[Ticket_Close_Date]] - Table1[[#This Row],[Ticket_Open_Date]])*24))</f>
        <v>58.999999999883585</v>
      </c>
      <c r="K48" s="1" t="str">
        <f>IF(Table1[[#This Row],[Resolution_Time_Hours]]="null", "null", IF( Table1[[#This Row],[Resolution_Time_Hours]] &gt; Table1[[#This Row],[SLA_Hours]],"Yes","No"))</f>
        <v>Yes</v>
      </c>
    </row>
    <row r="49" spans="1:11" x14ac:dyDescent="0.25">
      <c r="A49" s="1" t="s">
        <v>115</v>
      </c>
      <c r="B49" s="1" t="s">
        <v>116</v>
      </c>
      <c r="C49" s="1" t="s">
        <v>19</v>
      </c>
      <c r="D49" s="1" t="s">
        <v>14</v>
      </c>
      <c r="E49" s="1">
        <v>72</v>
      </c>
      <c r="F49" s="2">
        <v>46026.875</v>
      </c>
      <c r="G49" s="2">
        <v>46027.333333333336</v>
      </c>
      <c r="H49" s="1" t="s">
        <v>15</v>
      </c>
      <c r="I49" s="1" t="s">
        <v>25</v>
      </c>
      <c r="J49" s="5">
        <f>IF(Table1[[#This Row],[Ticket_Close_Date]] = "null", "null",((Table1[[#This Row],[Ticket_Close_Date]] - Table1[[#This Row],[Ticket_Open_Date]])*24))</f>
        <v>11.000000000058208</v>
      </c>
      <c r="K49" s="1" t="str">
        <f>IF(Table1[[#This Row],[Resolution_Time_Hours]]="null", "null", IF( Table1[[#This Row],[Resolution_Time_Hours]] &gt; Table1[[#This Row],[SLA_Hours]],"Yes","No"))</f>
        <v>No</v>
      </c>
    </row>
    <row r="50" spans="1:11" x14ac:dyDescent="0.25">
      <c r="A50" s="1" t="s">
        <v>117</v>
      </c>
      <c r="B50" s="1" t="s">
        <v>60</v>
      </c>
      <c r="C50" s="1" t="s">
        <v>19</v>
      </c>
      <c r="D50" s="1" t="s">
        <v>14</v>
      </c>
      <c r="E50" s="1">
        <v>72</v>
      </c>
      <c r="F50" s="2">
        <v>46030.208333333336</v>
      </c>
      <c r="G50" s="2">
        <v>46031.041666666664</v>
      </c>
      <c r="H50" s="1" t="s">
        <v>15</v>
      </c>
      <c r="I50" s="1" t="s">
        <v>21</v>
      </c>
      <c r="J50" s="5">
        <f>IF(Table1[[#This Row],[Ticket_Close_Date]] = "null", "null",((Table1[[#This Row],[Ticket_Close_Date]] - Table1[[#This Row],[Ticket_Open_Date]])*24))</f>
        <v>19.999999999883585</v>
      </c>
      <c r="K50" s="1" t="str">
        <f>IF(Table1[[#This Row],[Resolution_Time_Hours]]="null", "null", IF( Table1[[#This Row],[Resolution_Time_Hours]] &gt; Table1[[#This Row],[SLA_Hours]],"Yes","No"))</f>
        <v>No</v>
      </c>
    </row>
    <row r="51" spans="1:11" x14ac:dyDescent="0.25">
      <c r="A51" s="1" t="s">
        <v>118</v>
      </c>
      <c r="B51" s="1" t="s">
        <v>119</v>
      </c>
      <c r="C51" s="1" t="s">
        <v>13</v>
      </c>
      <c r="D51" s="1" t="s">
        <v>20</v>
      </c>
      <c r="E51" s="1">
        <v>24</v>
      </c>
      <c r="F51" s="2">
        <v>46028.833333333336</v>
      </c>
      <c r="G51" s="2">
        <v>46029.541666666664</v>
      </c>
      <c r="H51" s="1" t="s">
        <v>15</v>
      </c>
      <c r="I51" s="1" t="s">
        <v>36</v>
      </c>
      <c r="J51" s="5">
        <f>IF(Table1[[#This Row],[Ticket_Close_Date]] = "null", "null",((Table1[[#This Row],[Ticket_Close_Date]] - Table1[[#This Row],[Ticket_Open_Date]])*24))</f>
        <v>16.999999999883585</v>
      </c>
      <c r="K51" s="1" t="str">
        <f>IF(Table1[[#This Row],[Resolution_Time_Hours]]="null", "null", IF( Table1[[#This Row],[Resolution_Time_Hours]] &gt; Table1[[#This Row],[SLA_Hours]],"Yes","No"))</f>
        <v>No</v>
      </c>
    </row>
    <row r="52" spans="1:11" x14ac:dyDescent="0.25">
      <c r="A52" s="1" t="s">
        <v>120</v>
      </c>
      <c r="B52" s="1" t="s">
        <v>71</v>
      </c>
      <c r="C52" s="1" t="s">
        <v>19</v>
      </c>
      <c r="D52" s="1" t="s">
        <v>30</v>
      </c>
      <c r="E52" s="1">
        <v>48</v>
      </c>
      <c r="F52" s="2">
        <v>46028.375</v>
      </c>
      <c r="G52" s="2">
        <v>46030.208333333336</v>
      </c>
      <c r="H52" s="1" t="s">
        <v>15</v>
      </c>
      <c r="I52" s="1" t="s">
        <v>16</v>
      </c>
      <c r="J52" s="5">
        <f>IF(Table1[[#This Row],[Ticket_Close_Date]] = "null", "null",((Table1[[#This Row],[Ticket_Close_Date]] - Table1[[#This Row],[Ticket_Open_Date]])*24))</f>
        <v>44.000000000058208</v>
      </c>
      <c r="K52" s="1" t="str">
        <f>IF(Table1[[#This Row],[Resolution_Time_Hours]]="null", "null", IF( Table1[[#This Row],[Resolution_Time_Hours]] &gt; Table1[[#This Row],[SLA_Hours]],"Yes","No"))</f>
        <v>No</v>
      </c>
    </row>
    <row r="53" spans="1:11" x14ac:dyDescent="0.25">
      <c r="A53" s="1" t="s">
        <v>121</v>
      </c>
      <c r="B53" s="1" t="s">
        <v>122</v>
      </c>
      <c r="C53" s="1" t="s">
        <v>24</v>
      </c>
      <c r="D53" s="1" t="s">
        <v>14</v>
      </c>
      <c r="E53" s="1">
        <v>72</v>
      </c>
      <c r="F53" s="2">
        <v>46026.791666666664</v>
      </c>
      <c r="G53" s="2">
        <v>46028.166666666664</v>
      </c>
      <c r="H53" s="1" t="s">
        <v>15</v>
      </c>
      <c r="I53" s="1" t="s">
        <v>25</v>
      </c>
      <c r="J53" s="5">
        <f>IF(Table1[[#This Row],[Ticket_Close_Date]] = "null", "null",((Table1[[#This Row],[Ticket_Close_Date]] - Table1[[#This Row],[Ticket_Open_Date]])*24))</f>
        <v>33</v>
      </c>
      <c r="K53" s="1" t="str">
        <f>IF(Table1[[#This Row],[Resolution_Time_Hours]]="null", "null", IF( Table1[[#This Row],[Resolution_Time_Hours]] &gt; Table1[[#This Row],[SLA_Hours]],"Yes","No"))</f>
        <v>No</v>
      </c>
    </row>
    <row r="54" spans="1:11" x14ac:dyDescent="0.25">
      <c r="A54" s="1" t="s">
        <v>123</v>
      </c>
      <c r="B54" s="1" t="s">
        <v>124</v>
      </c>
      <c r="C54" s="1" t="s">
        <v>19</v>
      </c>
      <c r="D54" s="1" t="s">
        <v>14</v>
      </c>
      <c r="E54" s="1">
        <v>72</v>
      </c>
      <c r="F54" s="2">
        <v>46025.208333333336</v>
      </c>
      <c r="G54" s="2" t="s">
        <v>243</v>
      </c>
      <c r="H54" s="1" t="s">
        <v>35</v>
      </c>
      <c r="I54" s="1" t="s">
        <v>49</v>
      </c>
      <c r="J54" s="5" t="str">
        <f>IF(Table1[[#This Row],[Ticket_Close_Date]] = "null", "null",((Table1[[#This Row],[Ticket_Close_Date]] - Table1[[#This Row],[Ticket_Open_Date]])*24))</f>
        <v>null</v>
      </c>
      <c r="K54" s="1" t="str">
        <f>IF(Table1[[#This Row],[Resolution_Time_Hours]]="null", "null", IF( Table1[[#This Row],[Resolution_Time_Hours]] &gt; Table1[[#This Row],[SLA_Hours]],"Yes","No"))</f>
        <v>null</v>
      </c>
    </row>
    <row r="55" spans="1:11" x14ac:dyDescent="0.25">
      <c r="A55" s="1" t="s">
        <v>125</v>
      </c>
      <c r="B55" s="1" t="s">
        <v>69</v>
      </c>
      <c r="C55" s="1" t="s">
        <v>24</v>
      </c>
      <c r="D55" s="1" t="s">
        <v>14</v>
      </c>
      <c r="E55" s="1">
        <v>72</v>
      </c>
      <c r="F55" s="2">
        <v>46030.125</v>
      </c>
      <c r="G55" s="2">
        <v>46033.125</v>
      </c>
      <c r="H55" s="1" t="s">
        <v>15</v>
      </c>
      <c r="I55" s="1" t="s">
        <v>16</v>
      </c>
      <c r="J55" s="5">
        <f>IF(Table1[[#This Row],[Ticket_Close_Date]] = "null", "null",((Table1[[#This Row],[Ticket_Close_Date]] - Table1[[#This Row],[Ticket_Open_Date]])*24))</f>
        <v>72</v>
      </c>
      <c r="K55" s="1" t="str">
        <f>IF(Table1[[#This Row],[Resolution_Time_Hours]]="null", "null", IF( Table1[[#This Row],[Resolution_Time_Hours]] &gt; Table1[[#This Row],[SLA_Hours]],"Yes","No"))</f>
        <v>No</v>
      </c>
    </row>
    <row r="56" spans="1:11" x14ac:dyDescent="0.25">
      <c r="A56" s="1" t="s">
        <v>126</v>
      </c>
      <c r="B56" s="1" t="s">
        <v>86</v>
      </c>
      <c r="C56" s="1" t="s">
        <v>43</v>
      </c>
      <c r="D56" s="1" t="s">
        <v>14</v>
      </c>
      <c r="E56" s="1">
        <v>72</v>
      </c>
      <c r="F56" s="2">
        <v>46027.041666666664</v>
      </c>
      <c r="G56" s="2" t="s">
        <v>243</v>
      </c>
      <c r="H56" s="1" t="s">
        <v>35</v>
      </c>
      <c r="I56" s="1" t="s">
        <v>21</v>
      </c>
      <c r="J56" s="5" t="str">
        <f>IF(Table1[[#This Row],[Ticket_Close_Date]] = "null", "null",((Table1[[#This Row],[Ticket_Close_Date]] - Table1[[#This Row],[Ticket_Open_Date]])*24))</f>
        <v>null</v>
      </c>
      <c r="K56" s="1" t="str">
        <f>IF(Table1[[#This Row],[Resolution_Time_Hours]]="null", "null", IF( Table1[[#This Row],[Resolution_Time_Hours]] &gt; Table1[[#This Row],[SLA_Hours]],"Yes","No"))</f>
        <v>null</v>
      </c>
    </row>
    <row r="57" spans="1:11" x14ac:dyDescent="0.25">
      <c r="A57" s="1" t="s">
        <v>127</v>
      </c>
      <c r="B57" s="1" t="s">
        <v>128</v>
      </c>
      <c r="C57" s="1" t="s">
        <v>43</v>
      </c>
      <c r="D57" s="1" t="s">
        <v>14</v>
      </c>
      <c r="E57" s="1">
        <v>72</v>
      </c>
      <c r="F57" s="2">
        <v>46032.875</v>
      </c>
      <c r="G57" s="2">
        <v>46034.166666666664</v>
      </c>
      <c r="H57" s="1" t="s">
        <v>15</v>
      </c>
      <c r="I57" s="1" t="s">
        <v>16</v>
      </c>
      <c r="J57" s="5">
        <f>IF(Table1[[#This Row],[Ticket_Close_Date]] = "null", "null",((Table1[[#This Row],[Ticket_Close_Date]] - Table1[[#This Row],[Ticket_Open_Date]])*24))</f>
        <v>30.999999999941792</v>
      </c>
      <c r="K57" s="1" t="str">
        <f>IF(Table1[[#This Row],[Resolution_Time_Hours]]="null", "null", IF( Table1[[#This Row],[Resolution_Time_Hours]] &gt; Table1[[#This Row],[SLA_Hours]],"Yes","No"))</f>
        <v>No</v>
      </c>
    </row>
    <row r="58" spans="1:11" x14ac:dyDescent="0.25">
      <c r="A58" s="1" t="s">
        <v>129</v>
      </c>
      <c r="B58" s="1" t="s">
        <v>130</v>
      </c>
      <c r="C58" s="1" t="s">
        <v>48</v>
      </c>
      <c r="D58" s="1" t="s">
        <v>14</v>
      </c>
      <c r="E58" s="1">
        <v>72</v>
      </c>
      <c r="F58" s="2">
        <v>46030.166666666664</v>
      </c>
      <c r="G58" s="2">
        <v>46033.333333333336</v>
      </c>
      <c r="H58" s="1" t="s">
        <v>15</v>
      </c>
      <c r="I58" s="1" t="s">
        <v>25</v>
      </c>
      <c r="J58" s="5">
        <f>IF(Table1[[#This Row],[Ticket_Close_Date]] = "null", "null",((Table1[[#This Row],[Ticket_Close_Date]] - Table1[[#This Row],[Ticket_Open_Date]])*24))</f>
        <v>76.000000000116415</v>
      </c>
      <c r="K58" s="1" t="str">
        <f>IF(Table1[[#This Row],[Resolution_Time_Hours]]="null", "null", IF( Table1[[#This Row],[Resolution_Time_Hours]] &gt; Table1[[#This Row],[SLA_Hours]],"Yes","No"))</f>
        <v>Yes</v>
      </c>
    </row>
    <row r="59" spans="1:11" x14ac:dyDescent="0.25">
      <c r="A59" s="1" t="s">
        <v>131</v>
      </c>
      <c r="B59" s="1" t="s">
        <v>111</v>
      </c>
      <c r="C59" s="1" t="s">
        <v>43</v>
      </c>
      <c r="D59" s="1" t="s">
        <v>20</v>
      </c>
      <c r="E59" s="1">
        <v>24</v>
      </c>
      <c r="F59" s="2">
        <v>46033.416666666664</v>
      </c>
      <c r="G59" s="2" t="s">
        <v>243</v>
      </c>
      <c r="H59" s="1" t="s">
        <v>35</v>
      </c>
      <c r="I59" s="1" t="s">
        <v>25</v>
      </c>
      <c r="J59" s="5" t="str">
        <f>IF(Table1[[#This Row],[Ticket_Close_Date]] = "null", "null",((Table1[[#This Row],[Ticket_Close_Date]] - Table1[[#This Row],[Ticket_Open_Date]])*24))</f>
        <v>null</v>
      </c>
      <c r="K59" s="1" t="str">
        <f>IF(Table1[[#This Row],[Resolution_Time_Hours]]="null", "null", IF( Table1[[#This Row],[Resolution_Time_Hours]] &gt; Table1[[#This Row],[SLA_Hours]],"Yes","No"))</f>
        <v>null</v>
      </c>
    </row>
    <row r="60" spans="1:11" x14ac:dyDescent="0.25">
      <c r="A60" s="1" t="s">
        <v>132</v>
      </c>
      <c r="B60" s="1" t="s">
        <v>133</v>
      </c>
      <c r="C60" s="1" t="s">
        <v>48</v>
      </c>
      <c r="D60" s="1" t="s">
        <v>20</v>
      </c>
      <c r="E60" s="1">
        <v>24</v>
      </c>
      <c r="F60" s="2">
        <v>46027.458333333336</v>
      </c>
      <c r="G60" s="2">
        <v>46028.625</v>
      </c>
      <c r="H60" s="1" t="s">
        <v>15</v>
      </c>
      <c r="I60" s="1" t="s">
        <v>16</v>
      </c>
      <c r="J60" s="5">
        <f>IF(Table1[[#This Row],[Ticket_Close_Date]] = "null", "null",((Table1[[#This Row],[Ticket_Close_Date]] - Table1[[#This Row],[Ticket_Open_Date]])*24))</f>
        <v>27.999999999941792</v>
      </c>
      <c r="K60" s="1" t="str">
        <f>IF(Table1[[#This Row],[Resolution_Time_Hours]]="null", "null", IF( Table1[[#This Row],[Resolution_Time_Hours]] &gt; Table1[[#This Row],[SLA_Hours]],"Yes","No"))</f>
        <v>Yes</v>
      </c>
    </row>
    <row r="61" spans="1:11" x14ac:dyDescent="0.25">
      <c r="A61" s="1" t="s">
        <v>134</v>
      </c>
      <c r="B61" s="1" t="s">
        <v>135</v>
      </c>
      <c r="C61" s="1" t="s">
        <v>48</v>
      </c>
      <c r="D61" s="1" t="s">
        <v>20</v>
      </c>
      <c r="E61" s="1">
        <v>24</v>
      </c>
      <c r="F61" s="2">
        <v>46026.916666666664</v>
      </c>
      <c r="G61" s="2" t="s">
        <v>243</v>
      </c>
      <c r="H61" s="1" t="s">
        <v>35</v>
      </c>
      <c r="I61" s="1" t="s">
        <v>16</v>
      </c>
      <c r="J61" s="5" t="str">
        <f>IF(Table1[[#This Row],[Ticket_Close_Date]] = "null", "null",((Table1[[#This Row],[Ticket_Close_Date]] - Table1[[#This Row],[Ticket_Open_Date]])*24))</f>
        <v>null</v>
      </c>
      <c r="K61" s="1" t="str">
        <f>IF(Table1[[#This Row],[Resolution_Time_Hours]]="null", "null", IF( Table1[[#This Row],[Resolution_Time_Hours]] &gt; Table1[[#This Row],[SLA_Hours]],"Yes","No"))</f>
        <v>null</v>
      </c>
    </row>
    <row r="62" spans="1:11" x14ac:dyDescent="0.25">
      <c r="A62" s="1" t="s">
        <v>136</v>
      </c>
      <c r="B62" s="1" t="s">
        <v>69</v>
      </c>
      <c r="C62" s="1" t="s">
        <v>13</v>
      </c>
      <c r="D62" s="1" t="s">
        <v>20</v>
      </c>
      <c r="E62" s="1">
        <v>24</v>
      </c>
      <c r="F62" s="2">
        <v>46029.333333333336</v>
      </c>
      <c r="G62" s="2" t="s">
        <v>243</v>
      </c>
      <c r="H62" s="1" t="s">
        <v>35</v>
      </c>
      <c r="I62" s="1" t="s">
        <v>16</v>
      </c>
      <c r="J62" s="5" t="str">
        <f>IF(Table1[[#This Row],[Ticket_Close_Date]] = "null", "null",((Table1[[#This Row],[Ticket_Close_Date]] - Table1[[#This Row],[Ticket_Open_Date]])*24))</f>
        <v>null</v>
      </c>
      <c r="K62" s="1" t="str">
        <f>IF(Table1[[#This Row],[Resolution_Time_Hours]]="null", "null", IF( Table1[[#This Row],[Resolution_Time_Hours]] &gt; Table1[[#This Row],[SLA_Hours]],"Yes","No"))</f>
        <v>null</v>
      </c>
    </row>
    <row r="63" spans="1:11" x14ac:dyDescent="0.25">
      <c r="A63" s="1" t="s">
        <v>137</v>
      </c>
      <c r="B63" s="1" t="s">
        <v>138</v>
      </c>
      <c r="C63" s="1" t="s">
        <v>13</v>
      </c>
      <c r="D63" s="1" t="s">
        <v>20</v>
      </c>
      <c r="E63" s="1">
        <v>24</v>
      </c>
      <c r="F63" s="2">
        <v>46034.375</v>
      </c>
      <c r="G63" s="2">
        <v>46034.916666666664</v>
      </c>
      <c r="H63" s="1" t="s">
        <v>15</v>
      </c>
      <c r="I63" s="1" t="s">
        <v>25</v>
      </c>
      <c r="J63" s="5">
        <f>IF(Table1[[#This Row],[Ticket_Close_Date]] = "null", "null",((Table1[[#This Row],[Ticket_Close_Date]] - Table1[[#This Row],[Ticket_Open_Date]])*24))</f>
        <v>12.999999999941792</v>
      </c>
      <c r="K63" s="1" t="str">
        <f>IF(Table1[[#This Row],[Resolution_Time_Hours]]="null", "null", IF( Table1[[#This Row],[Resolution_Time_Hours]] &gt; Table1[[#This Row],[SLA_Hours]],"Yes","No"))</f>
        <v>No</v>
      </c>
    </row>
    <row r="64" spans="1:11" x14ac:dyDescent="0.25">
      <c r="A64" s="1" t="s">
        <v>139</v>
      </c>
      <c r="B64" s="1" t="s">
        <v>140</v>
      </c>
      <c r="C64" s="1" t="s">
        <v>24</v>
      </c>
      <c r="D64" s="1" t="s">
        <v>30</v>
      </c>
      <c r="E64" s="1">
        <v>48</v>
      </c>
      <c r="F64" s="2">
        <v>46026.541666666664</v>
      </c>
      <c r="G64" s="2" t="s">
        <v>243</v>
      </c>
      <c r="H64" s="1" t="s">
        <v>35</v>
      </c>
      <c r="I64" s="1" t="s">
        <v>49</v>
      </c>
      <c r="J64" s="5" t="str">
        <f>IF(Table1[[#This Row],[Ticket_Close_Date]] = "null", "null",((Table1[[#This Row],[Ticket_Close_Date]] - Table1[[#This Row],[Ticket_Open_Date]])*24))</f>
        <v>null</v>
      </c>
      <c r="K64" s="1" t="str">
        <f>IF(Table1[[#This Row],[Resolution_Time_Hours]]="null", "null", IF( Table1[[#This Row],[Resolution_Time_Hours]] &gt; Table1[[#This Row],[SLA_Hours]],"Yes","No"))</f>
        <v>null</v>
      </c>
    </row>
    <row r="65" spans="1:11" x14ac:dyDescent="0.25">
      <c r="A65" s="1" t="s">
        <v>141</v>
      </c>
      <c r="B65" s="1" t="s">
        <v>142</v>
      </c>
      <c r="C65" s="1" t="s">
        <v>48</v>
      </c>
      <c r="D65" s="1" t="s">
        <v>20</v>
      </c>
      <c r="E65" s="1">
        <v>24</v>
      </c>
      <c r="F65" s="2">
        <v>46035.333333333336</v>
      </c>
      <c r="G65" s="2" t="s">
        <v>243</v>
      </c>
      <c r="H65" s="1" t="s">
        <v>35</v>
      </c>
      <c r="I65" s="1" t="s">
        <v>49</v>
      </c>
      <c r="J65" s="5" t="str">
        <f>IF(Table1[[#This Row],[Ticket_Close_Date]] = "null", "null",((Table1[[#This Row],[Ticket_Close_Date]] - Table1[[#This Row],[Ticket_Open_Date]])*24))</f>
        <v>null</v>
      </c>
      <c r="K65" s="1" t="str">
        <f>IF(Table1[[#This Row],[Resolution_Time_Hours]]="null", "null", IF( Table1[[#This Row],[Resolution_Time_Hours]] &gt; Table1[[#This Row],[SLA_Hours]],"Yes","No"))</f>
        <v>null</v>
      </c>
    </row>
    <row r="66" spans="1:11" x14ac:dyDescent="0.25">
      <c r="A66" s="1" t="s">
        <v>143</v>
      </c>
      <c r="B66" s="1" t="s">
        <v>114</v>
      </c>
      <c r="C66" s="1" t="s">
        <v>48</v>
      </c>
      <c r="D66" s="1" t="s">
        <v>14</v>
      </c>
      <c r="E66" s="1">
        <v>72</v>
      </c>
      <c r="F66" s="2">
        <v>46031.291666666664</v>
      </c>
      <c r="G66" s="2" t="s">
        <v>243</v>
      </c>
      <c r="H66" s="1" t="s">
        <v>35</v>
      </c>
      <c r="I66" s="1" t="s">
        <v>21</v>
      </c>
      <c r="J66" s="5" t="str">
        <f>IF(Table1[[#This Row],[Ticket_Close_Date]] = "null", "null",((Table1[[#This Row],[Ticket_Close_Date]] - Table1[[#This Row],[Ticket_Open_Date]])*24))</f>
        <v>null</v>
      </c>
      <c r="K66" s="1" t="str">
        <f>IF(Table1[[#This Row],[Resolution_Time_Hours]]="null", "null", IF( Table1[[#This Row],[Resolution_Time_Hours]] &gt; Table1[[#This Row],[SLA_Hours]],"Yes","No"))</f>
        <v>null</v>
      </c>
    </row>
    <row r="67" spans="1:11" x14ac:dyDescent="0.25">
      <c r="A67" s="1" t="s">
        <v>144</v>
      </c>
      <c r="B67" s="1" t="s">
        <v>145</v>
      </c>
      <c r="C67" s="1" t="s">
        <v>24</v>
      </c>
      <c r="D67" s="1" t="s">
        <v>20</v>
      </c>
      <c r="E67" s="1">
        <v>24</v>
      </c>
      <c r="F67" s="2">
        <v>46034</v>
      </c>
      <c r="G67" s="2">
        <v>46037.166666666664</v>
      </c>
      <c r="H67" s="1" t="s">
        <v>15</v>
      </c>
      <c r="I67" s="1" t="s">
        <v>25</v>
      </c>
      <c r="J67" s="5">
        <f>IF(Table1[[#This Row],[Ticket_Close_Date]] = "null", "null",((Table1[[#This Row],[Ticket_Close_Date]] - Table1[[#This Row],[Ticket_Open_Date]])*24))</f>
        <v>75.999999999941792</v>
      </c>
      <c r="K67" s="1" t="str">
        <f>IF(Table1[[#This Row],[Resolution_Time_Hours]]="null", "null", IF( Table1[[#This Row],[Resolution_Time_Hours]] &gt; Table1[[#This Row],[SLA_Hours]],"Yes","No"))</f>
        <v>Yes</v>
      </c>
    </row>
    <row r="68" spans="1:11" x14ac:dyDescent="0.25">
      <c r="A68" s="1" t="s">
        <v>146</v>
      </c>
      <c r="B68" s="1" t="s">
        <v>147</v>
      </c>
      <c r="C68" s="1" t="s">
        <v>43</v>
      </c>
      <c r="D68" s="1" t="s">
        <v>20</v>
      </c>
      <c r="E68" s="1">
        <v>24</v>
      </c>
      <c r="F68" s="2">
        <v>46030.625</v>
      </c>
      <c r="G68" s="2" t="s">
        <v>243</v>
      </c>
      <c r="H68" s="1" t="s">
        <v>35</v>
      </c>
      <c r="I68" s="1" t="s">
        <v>49</v>
      </c>
      <c r="J68" s="5" t="str">
        <f>IF(Table1[[#This Row],[Ticket_Close_Date]] = "null", "null",((Table1[[#This Row],[Ticket_Close_Date]] - Table1[[#This Row],[Ticket_Open_Date]])*24))</f>
        <v>null</v>
      </c>
      <c r="K68" s="1" t="str">
        <f>IF(Table1[[#This Row],[Resolution_Time_Hours]]="null", "null", IF( Table1[[#This Row],[Resolution_Time_Hours]] &gt; Table1[[#This Row],[SLA_Hours]],"Yes","No"))</f>
        <v>null</v>
      </c>
    </row>
    <row r="69" spans="1:11" x14ac:dyDescent="0.25">
      <c r="A69" s="1" t="s">
        <v>148</v>
      </c>
      <c r="B69" s="1" t="s">
        <v>18</v>
      </c>
      <c r="C69" s="1" t="s">
        <v>13</v>
      </c>
      <c r="D69" s="1" t="s">
        <v>20</v>
      </c>
      <c r="E69" s="1">
        <v>24</v>
      </c>
      <c r="F69" s="2">
        <v>46031.708333333336</v>
      </c>
      <c r="G69" s="2">
        <v>46033.458333333336</v>
      </c>
      <c r="H69" s="1" t="s">
        <v>15</v>
      </c>
      <c r="I69" s="1" t="s">
        <v>25</v>
      </c>
      <c r="J69" s="5">
        <f>IF(Table1[[#This Row],[Ticket_Close_Date]] = "null", "null",((Table1[[#This Row],[Ticket_Close_Date]] - Table1[[#This Row],[Ticket_Open_Date]])*24))</f>
        <v>42</v>
      </c>
      <c r="K69" s="1" t="str">
        <f>IF(Table1[[#This Row],[Resolution_Time_Hours]]="null", "null", IF( Table1[[#This Row],[Resolution_Time_Hours]] &gt; Table1[[#This Row],[SLA_Hours]],"Yes","No"))</f>
        <v>Yes</v>
      </c>
    </row>
    <row r="70" spans="1:11" x14ac:dyDescent="0.25">
      <c r="A70" s="1" t="s">
        <v>149</v>
      </c>
      <c r="B70" s="1" t="s">
        <v>58</v>
      </c>
      <c r="C70" s="1" t="s">
        <v>43</v>
      </c>
      <c r="D70" s="1" t="s">
        <v>20</v>
      </c>
      <c r="E70" s="1">
        <v>24</v>
      </c>
      <c r="F70" s="2">
        <v>46028</v>
      </c>
      <c r="G70" s="2">
        <v>46029.708333333336</v>
      </c>
      <c r="H70" s="1" t="s">
        <v>15</v>
      </c>
      <c r="I70" s="1" t="s">
        <v>21</v>
      </c>
      <c r="J70" s="5">
        <f>IF(Table1[[#This Row],[Ticket_Close_Date]] = "null", "null",((Table1[[#This Row],[Ticket_Close_Date]] - Table1[[#This Row],[Ticket_Open_Date]])*24))</f>
        <v>41.000000000058208</v>
      </c>
      <c r="K70" s="1" t="str">
        <f>IF(Table1[[#This Row],[Resolution_Time_Hours]]="null", "null", IF( Table1[[#This Row],[Resolution_Time_Hours]] &gt; Table1[[#This Row],[SLA_Hours]],"Yes","No"))</f>
        <v>Yes</v>
      </c>
    </row>
    <row r="71" spans="1:11" x14ac:dyDescent="0.25">
      <c r="A71" s="1" t="s">
        <v>150</v>
      </c>
      <c r="B71" s="1" t="s">
        <v>27</v>
      </c>
      <c r="C71" s="1" t="s">
        <v>48</v>
      </c>
      <c r="D71" s="1" t="s">
        <v>30</v>
      </c>
      <c r="E71" s="1">
        <v>48</v>
      </c>
      <c r="F71" s="2">
        <v>46027.083333333336</v>
      </c>
      <c r="G71" s="2">
        <v>46028.958333333336</v>
      </c>
      <c r="H71" s="1" t="s">
        <v>15</v>
      </c>
      <c r="I71" s="1" t="s">
        <v>16</v>
      </c>
      <c r="J71" s="5">
        <f>IF(Table1[[#This Row],[Ticket_Close_Date]] = "null", "null",((Table1[[#This Row],[Ticket_Close_Date]] - Table1[[#This Row],[Ticket_Open_Date]])*24))</f>
        <v>45</v>
      </c>
      <c r="K71" s="1" t="str">
        <f>IF(Table1[[#This Row],[Resolution_Time_Hours]]="null", "null", IF( Table1[[#This Row],[Resolution_Time_Hours]] &gt; Table1[[#This Row],[SLA_Hours]],"Yes","No"))</f>
        <v>No</v>
      </c>
    </row>
    <row r="72" spans="1:11" x14ac:dyDescent="0.25">
      <c r="A72" s="1" t="s">
        <v>151</v>
      </c>
      <c r="B72" s="1" t="s">
        <v>71</v>
      </c>
      <c r="C72" s="1" t="s">
        <v>24</v>
      </c>
      <c r="D72" s="1" t="s">
        <v>14</v>
      </c>
      <c r="E72" s="1">
        <v>72</v>
      </c>
      <c r="F72" s="2">
        <v>46024.25</v>
      </c>
      <c r="G72" s="2">
        <v>46025</v>
      </c>
      <c r="H72" s="1" t="s">
        <v>15</v>
      </c>
      <c r="I72" s="1" t="s">
        <v>36</v>
      </c>
      <c r="J72" s="5">
        <f>IF(Table1[[#This Row],[Ticket_Close_Date]] = "null", "null",((Table1[[#This Row],[Ticket_Close_Date]] - Table1[[#This Row],[Ticket_Open_Date]])*24))</f>
        <v>18</v>
      </c>
      <c r="K72" s="1" t="str">
        <f>IF(Table1[[#This Row],[Resolution_Time_Hours]]="null", "null", IF( Table1[[#This Row],[Resolution_Time_Hours]] &gt; Table1[[#This Row],[SLA_Hours]],"Yes","No"))</f>
        <v>No</v>
      </c>
    </row>
    <row r="73" spans="1:11" x14ac:dyDescent="0.25">
      <c r="A73" s="1" t="s">
        <v>152</v>
      </c>
      <c r="B73" s="1" t="s">
        <v>109</v>
      </c>
      <c r="C73" s="1" t="s">
        <v>43</v>
      </c>
      <c r="D73" s="1" t="s">
        <v>14</v>
      </c>
      <c r="E73" s="1">
        <v>72</v>
      </c>
      <c r="F73" s="2">
        <v>46030.208333333336</v>
      </c>
      <c r="G73" s="2">
        <v>46030.708333333336</v>
      </c>
      <c r="H73" s="1" t="s">
        <v>15</v>
      </c>
      <c r="I73" s="1" t="s">
        <v>16</v>
      </c>
      <c r="J73" s="5">
        <f>IF(Table1[[#This Row],[Ticket_Close_Date]] = "null", "null",((Table1[[#This Row],[Ticket_Close_Date]] - Table1[[#This Row],[Ticket_Open_Date]])*24))</f>
        <v>12</v>
      </c>
      <c r="K73" s="1" t="str">
        <f>IF(Table1[[#This Row],[Resolution_Time_Hours]]="null", "null", IF( Table1[[#This Row],[Resolution_Time_Hours]] &gt; Table1[[#This Row],[SLA_Hours]],"Yes","No"))</f>
        <v>No</v>
      </c>
    </row>
    <row r="74" spans="1:11" x14ac:dyDescent="0.25">
      <c r="A74" s="1" t="s">
        <v>153</v>
      </c>
      <c r="B74" s="1" t="s">
        <v>53</v>
      </c>
      <c r="C74" s="1" t="s">
        <v>13</v>
      </c>
      <c r="D74" s="1" t="s">
        <v>30</v>
      </c>
      <c r="E74" s="1">
        <v>48</v>
      </c>
      <c r="F74" s="2">
        <v>46034.916666666664</v>
      </c>
      <c r="G74" s="2" t="s">
        <v>243</v>
      </c>
      <c r="H74" s="1" t="s">
        <v>35</v>
      </c>
      <c r="I74" s="1" t="s">
        <v>25</v>
      </c>
      <c r="J74" s="5" t="str">
        <f>IF(Table1[[#This Row],[Ticket_Close_Date]] = "null", "null",((Table1[[#This Row],[Ticket_Close_Date]] - Table1[[#This Row],[Ticket_Open_Date]])*24))</f>
        <v>null</v>
      </c>
      <c r="K74" s="1" t="str">
        <f>IF(Table1[[#This Row],[Resolution_Time_Hours]]="null", "null", IF( Table1[[#This Row],[Resolution_Time_Hours]] &gt; Table1[[#This Row],[SLA_Hours]],"Yes","No"))</f>
        <v>null</v>
      </c>
    </row>
    <row r="75" spans="1:11" x14ac:dyDescent="0.25">
      <c r="A75" s="1" t="s">
        <v>154</v>
      </c>
      <c r="B75" s="1" t="s">
        <v>114</v>
      </c>
      <c r="C75" s="1" t="s">
        <v>24</v>
      </c>
      <c r="D75" s="1" t="s">
        <v>30</v>
      </c>
      <c r="E75" s="1">
        <v>48</v>
      </c>
      <c r="F75" s="2">
        <v>46028.166666666664</v>
      </c>
      <c r="G75" s="2" t="s">
        <v>243</v>
      </c>
      <c r="H75" s="1" t="s">
        <v>35</v>
      </c>
      <c r="I75" s="1" t="s">
        <v>21</v>
      </c>
      <c r="J75" s="5" t="str">
        <f>IF(Table1[[#This Row],[Ticket_Close_Date]] = "null", "null",((Table1[[#This Row],[Ticket_Close_Date]] - Table1[[#This Row],[Ticket_Open_Date]])*24))</f>
        <v>null</v>
      </c>
      <c r="K75" s="1" t="str">
        <f>IF(Table1[[#This Row],[Resolution_Time_Hours]]="null", "null", IF( Table1[[#This Row],[Resolution_Time_Hours]] &gt; Table1[[#This Row],[SLA_Hours]],"Yes","No"))</f>
        <v>null</v>
      </c>
    </row>
    <row r="76" spans="1:11" x14ac:dyDescent="0.25">
      <c r="A76" s="1" t="s">
        <v>155</v>
      </c>
      <c r="B76" s="1" t="s">
        <v>156</v>
      </c>
      <c r="C76" s="1" t="s">
        <v>48</v>
      </c>
      <c r="D76" s="1" t="s">
        <v>20</v>
      </c>
      <c r="E76" s="1">
        <v>24</v>
      </c>
      <c r="F76" s="2">
        <v>46032.083333333336</v>
      </c>
      <c r="G76" s="2" t="s">
        <v>243</v>
      </c>
      <c r="H76" s="1" t="s">
        <v>35</v>
      </c>
      <c r="I76" s="1" t="s">
        <v>21</v>
      </c>
      <c r="J76" s="5" t="str">
        <f>IF(Table1[[#This Row],[Ticket_Close_Date]] = "null", "null",((Table1[[#This Row],[Ticket_Close_Date]] - Table1[[#This Row],[Ticket_Open_Date]])*24))</f>
        <v>null</v>
      </c>
      <c r="K76" s="1" t="str">
        <f>IF(Table1[[#This Row],[Resolution_Time_Hours]]="null", "null", IF( Table1[[#This Row],[Resolution_Time_Hours]] &gt; Table1[[#This Row],[SLA_Hours]],"Yes","No"))</f>
        <v>null</v>
      </c>
    </row>
    <row r="77" spans="1:11" x14ac:dyDescent="0.25">
      <c r="A77" s="1" t="s">
        <v>157</v>
      </c>
      <c r="B77" s="1" t="s">
        <v>142</v>
      </c>
      <c r="C77" s="1" t="s">
        <v>48</v>
      </c>
      <c r="D77" s="1" t="s">
        <v>20</v>
      </c>
      <c r="E77" s="1">
        <v>24</v>
      </c>
      <c r="F77" s="2">
        <v>46033.958333333336</v>
      </c>
      <c r="G77" s="2">
        <v>46036.041666666664</v>
      </c>
      <c r="H77" s="1" t="s">
        <v>15</v>
      </c>
      <c r="I77" s="1" t="s">
        <v>16</v>
      </c>
      <c r="J77" s="5">
        <f>IF(Table1[[#This Row],[Ticket_Close_Date]] = "null", "null",((Table1[[#This Row],[Ticket_Close_Date]] - Table1[[#This Row],[Ticket_Open_Date]])*24))</f>
        <v>49.999999999883585</v>
      </c>
      <c r="K77" s="1" t="str">
        <f>IF(Table1[[#This Row],[Resolution_Time_Hours]]="null", "null", IF( Table1[[#This Row],[Resolution_Time_Hours]] &gt; Table1[[#This Row],[SLA_Hours]],"Yes","No"))</f>
        <v>Yes</v>
      </c>
    </row>
    <row r="78" spans="1:11" x14ac:dyDescent="0.25">
      <c r="A78" s="1" t="s">
        <v>158</v>
      </c>
      <c r="B78" s="1" t="s">
        <v>101</v>
      </c>
      <c r="C78" s="1" t="s">
        <v>19</v>
      </c>
      <c r="D78" s="1" t="s">
        <v>20</v>
      </c>
      <c r="E78" s="1">
        <v>24</v>
      </c>
      <c r="F78" s="2">
        <v>46023.916666666664</v>
      </c>
      <c r="G78" s="2" t="s">
        <v>243</v>
      </c>
      <c r="H78" s="1" t="s">
        <v>35</v>
      </c>
      <c r="I78" s="1" t="s">
        <v>21</v>
      </c>
      <c r="J78" s="5" t="str">
        <f>IF(Table1[[#This Row],[Ticket_Close_Date]] = "null", "null",((Table1[[#This Row],[Ticket_Close_Date]] - Table1[[#This Row],[Ticket_Open_Date]])*24))</f>
        <v>null</v>
      </c>
      <c r="K78" s="1" t="str">
        <f>IF(Table1[[#This Row],[Resolution_Time_Hours]]="null", "null", IF( Table1[[#This Row],[Resolution_Time_Hours]] &gt; Table1[[#This Row],[SLA_Hours]],"Yes","No"))</f>
        <v>null</v>
      </c>
    </row>
    <row r="79" spans="1:11" x14ac:dyDescent="0.25">
      <c r="A79" s="1" t="s">
        <v>159</v>
      </c>
      <c r="B79" s="1" t="s">
        <v>160</v>
      </c>
      <c r="C79" s="1" t="s">
        <v>24</v>
      </c>
      <c r="D79" s="1" t="s">
        <v>30</v>
      </c>
      <c r="E79" s="1">
        <v>48</v>
      </c>
      <c r="F79" s="2">
        <v>46031.708333333336</v>
      </c>
      <c r="G79" s="2" t="s">
        <v>243</v>
      </c>
      <c r="H79" s="1" t="s">
        <v>35</v>
      </c>
      <c r="I79" s="1" t="s">
        <v>36</v>
      </c>
      <c r="J79" s="5" t="str">
        <f>IF(Table1[[#This Row],[Ticket_Close_Date]] = "null", "null",((Table1[[#This Row],[Ticket_Close_Date]] - Table1[[#This Row],[Ticket_Open_Date]])*24))</f>
        <v>null</v>
      </c>
      <c r="K79" s="1" t="str">
        <f>IF(Table1[[#This Row],[Resolution_Time_Hours]]="null", "null", IF( Table1[[#This Row],[Resolution_Time_Hours]] &gt; Table1[[#This Row],[SLA_Hours]],"Yes","No"))</f>
        <v>null</v>
      </c>
    </row>
    <row r="80" spans="1:11" x14ac:dyDescent="0.25">
      <c r="A80" s="1" t="s">
        <v>161</v>
      </c>
      <c r="B80" s="1" t="s">
        <v>162</v>
      </c>
      <c r="C80" s="1" t="s">
        <v>43</v>
      </c>
      <c r="D80" s="1" t="s">
        <v>30</v>
      </c>
      <c r="E80" s="1">
        <v>48</v>
      </c>
      <c r="F80" s="2">
        <v>46029.291666666664</v>
      </c>
      <c r="G80" s="2" t="s">
        <v>243</v>
      </c>
      <c r="H80" s="1" t="s">
        <v>35</v>
      </c>
      <c r="I80" s="1" t="s">
        <v>36</v>
      </c>
      <c r="J80" s="5" t="str">
        <f>IF(Table1[[#This Row],[Ticket_Close_Date]] = "null", "null",((Table1[[#This Row],[Ticket_Close_Date]] - Table1[[#This Row],[Ticket_Open_Date]])*24))</f>
        <v>null</v>
      </c>
      <c r="K80" s="1" t="str">
        <f>IF(Table1[[#This Row],[Resolution_Time_Hours]]="null", "null", IF( Table1[[#This Row],[Resolution_Time_Hours]] &gt; Table1[[#This Row],[SLA_Hours]],"Yes","No"))</f>
        <v>null</v>
      </c>
    </row>
    <row r="81" spans="1:11" x14ac:dyDescent="0.25">
      <c r="A81" s="1" t="s">
        <v>163</v>
      </c>
      <c r="B81" s="1" t="s">
        <v>109</v>
      </c>
      <c r="C81" s="1" t="s">
        <v>19</v>
      </c>
      <c r="D81" s="1" t="s">
        <v>30</v>
      </c>
      <c r="E81" s="1">
        <v>48</v>
      </c>
      <c r="F81" s="2">
        <v>46026.625</v>
      </c>
      <c r="G81" s="2" t="s">
        <v>243</v>
      </c>
      <c r="H81" s="1" t="s">
        <v>35</v>
      </c>
      <c r="I81" s="1" t="s">
        <v>25</v>
      </c>
      <c r="J81" s="5" t="str">
        <f>IF(Table1[[#This Row],[Ticket_Close_Date]] = "null", "null",((Table1[[#This Row],[Ticket_Close_Date]] - Table1[[#This Row],[Ticket_Open_Date]])*24))</f>
        <v>null</v>
      </c>
      <c r="K81" s="1" t="str">
        <f>IF(Table1[[#This Row],[Resolution_Time_Hours]]="null", "null", IF( Table1[[#This Row],[Resolution_Time_Hours]] &gt; Table1[[#This Row],[SLA_Hours]],"Yes","No"))</f>
        <v>null</v>
      </c>
    </row>
    <row r="82" spans="1:11" x14ac:dyDescent="0.25">
      <c r="A82" s="1" t="s">
        <v>164</v>
      </c>
      <c r="B82" s="1" t="s">
        <v>76</v>
      </c>
      <c r="C82" s="1" t="s">
        <v>43</v>
      </c>
      <c r="D82" s="1" t="s">
        <v>30</v>
      </c>
      <c r="E82" s="1">
        <v>48</v>
      </c>
      <c r="F82" s="2">
        <v>46030.083333333336</v>
      </c>
      <c r="G82" s="2">
        <v>46030.75</v>
      </c>
      <c r="H82" s="1" t="s">
        <v>15</v>
      </c>
      <c r="I82" s="1" t="s">
        <v>49</v>
      </c>
      <c r="J82" s="5">
        <f>IF(Table1[[#This Row],[Ticket_Close_Date]] = "null", "null",((Table1[[#This Row],[Ticket_Close_Date]] - Table1[[#This Row],[Ticket_Open_Date]])*24))</f>
        <v>15.999999999941792</v>
      </c>
      <c r="K82" s="1" t="str">
        <f>IF(Table1[[#This Row],[Resolution_Time_Hours]]="null", "null", IF( Table1[[#This Row],[Resolution_Time_Hours]] &gt; Table1[[#This Row],[SLA_Hours]],"Yes","No"))</f>
        <v>No</v>
      </c>
    </row>
    <row r="83" spans="1:11" x14ac:dyDescent="0.25">
      <c r="A83" s="1" t="s">
        <v>165</v>
      </c>
      <c r="B83" s="1" t="s">
        <v>86</v>
      </c>
      <c r="C83" s="1" t="s">
        <v>43</v>
      </c>
      <c r="D83" s="1" t="s">
        <v>30</v>
      </c>
      <c r="E83" s="1">
        <v>48</v>
      </c>
      <c r="F83" s="2">
        <v>46024.416666666664</v>
      </c>
      <c r="G83" s="2" t="s">
        <v>243</v>
      </c>
      <c r="H83" s="1" t="s">
        <v>35</v>
      </c>
      <c r="I83" s="1" t="s">
        <v>25</v>
      </c>
      <c r="J83" s="5" t="str">
        <f>IF(Table1[[#This Row],[Ticket_Close_Date]] = "null", "null",((Table1[[#This Row],[Ticket_Close_Date]] - Table1[[#This Row],[Ticket_Open_Date]])*24))</f>
        <v>null</v>
      </c>
      <c r="K83" s="1" t="str">
        <f>IF(Table1[[#This Row],[Resolution_Time_Hours]]="null", "null", IF( Table1[[#This Row],[Resolution_Time_Hours]] &gt; Table1[[#This Row],[SLA_Hours]],"Yes","No"))</f>
        <v>null</v>
      </c>
    </row>
    <row r="84" spans="1:11" x14ac:dyDescent="0.25">
      <c r="A84" s="1" t="s">
        <v>166</v>
      </c>
      <c r="B84" s="1" t="s">
        <v>18</v>
      </c>
      <c r="C84" s="1" t="s">
        <v>19</v>
      </c>
      <c r="D84" s="1" t="s">
        <v>14</v>
      </c>
      <c r="E84" s="1">
        <v>72</v>
      </c>
      <c r="F84" s="2">
        <v>46029.75</v>
      </c>
      <c r="G84" s="2">
        <v>46031.375</v>
      </c>
      <c r="H84" s="1" t="s">
        <v>15</v>
      </c>
      <c r="I84" s="1" t="s">
        <v>49</v>
      </c>
      <c r="J84" s="5">
        <f>IF(Table1[[#This Row],[Ticket_Close_Date]] = "null", "null",((Table1[[#This Row],[Ticket_Close_Date]] - Table1[[#This Row],[Ticket_Open_Date]])*24))</f>
        <v>39</v>
      </c>
      <c r="K84" s="1" t="str">
        <f>IF(Table1[[#This Row],[Resolution_Time_Hours]]="null", "null", IF( Table1[[#This Row],[Resolution_Time_Hours]] &gt; Table1[[#This Row],[SLA_Hours]],"Yes","No"))</f>
        <v>No</v>
      </c>
    </row>
    <row r="85" spans="1:11" x14ac:dyDescent="0.25">
      <c r="A85" s="1" t="s">
        <v>167</v>
      </c>
      <c r="B85" s="1" t="s">
        <v>168</v>
      </c>
      <c r="C85" s="1" t="s">
        <v>24</v>
      </c>
      <c r="D85" s="1" t="s">
        <v>14</v>
      </c>
      <c r="E85" s="1">
        <v>72</v>
      </c>
      <c r="F85" s="2">
        <v>46026.916666666664</v>
      </c>
      <c r="G85" s="2" t="s">
        <v>243</v>
      </c>
      <c r="H85" s="1" t="s">
        <v>35</v>
      </c>
      <c r="I85" s="1" t="s">
        <v>16</v>
      </c>
      <c r="J85" s="5" t="str">
        <f>IF(Table1[[#This Row],[Ticket_Close_Date]] = "null", "null",((Table1[[#This Row],[Ticket_Close_Date]] - Table1[[#This Row],[Ticket_Open_Date]])*24))</f>
        <v>null</v>
      </c>
      <c r="K85" s="1" t="str">
        <f>IF(Table1[[#This Row],[Resolution_Time_Hours]]="null", "null", IF( Table1[[#This Row],[Resolution_Time_Hours]] &gt; Table1[[#This Row],[SLA_Hours]],"Yes","No"))</f>
        <v>null</v>
      </c>
    </row>
    <row r="86" spans="1:11" x14ac:dyDescent="0.25">
      <c r="A86" s="1" t="s">
        <v>169</v>
      </c>
      <c r="B86" s="1" t="s">
        <v>142</v>
      </c>
      <c r="C86" s="1" t="s">
        <v>13</v>
      </c>
      <c r="D86" s="1" t="s">
        <v>30</v>
      </c>
      <c r="E86" s="1">
        <v>48</v>
      </c>
      <c r="F86" s="2">
        <v>46027.583333333336</v>
      </c>
      <c r="G86" s="2" t="s">
        <v>243</v>
      </c>
      <c r="H86" s="1" t="s">
        <v>35</v>
      </c>
      <c r="I86" s="1" t="s">
        <v>36</v>
      </c>
      <c r="J86" s="5" t="str">
        <f>IF(Table1[[#This Row],[Ticket_Close_Date]] = "null", "null",((Table1[[#This Row],[Ticket_Close_Date]] - Table1[[#This Row],[Ticket_Open_Date]])*24))</f>
        <v>null</v>
      </c>
      <c r="K86" s="1" t="str">
        <f>IF(Table1[[#This Row],[Resolution_Time_Hours]]="null", "null", IF( Table1[[#This Row],[Resolution_Time_Hours]] &gt; Table1[[#This Row],[SLA_Hours]],"Yes","No"))</f>
        <v>null</v>
      </c>
    </row>
    <row r="87" spans="1:11" x14ac:dyDescent="0.25">
      <c r="A87" s="1" t="s">
        <v>170</v>
      </c>
      <c r="B87" s="1" t="s">
        <v>23</v>
      </c>
      <c r="C87" s="1" t="s">
        <v>48</v>
      </c>
      <c r="D87" s="1" t="s">
        <v>14</v>
      </c>
      <c r="E87" s="1">
        <v>72</v>
      </c>
      <c r="F87" s="2">
        <v>46025.125</v>
      </c>
      <c r="G87" s="2" t="s">
        <v>243</v>
      </c>
      <c r="H87" s="1" t="s">
        <v>35</v>
      </c>
      <c r="I87" s="1" t="s">
        <v>21</v>
      </c>
      <c r="J87" s="5" t="str">
        <f>IF(Table1[[#This Row],[Ticket_Close_Date]] = "null", "null",((Table1[[#This Row],[Ticket_Close_Date]] - Table1[[#This Row],[Ticket_Open_Date]])*24))</f>
        <v>null</v>
      </c>
      <c r="K87" s="1" t="str">
        <f>IF(Table1[[#This Row],[Resolution_Time_Hours]]="null", "null", IF( Table1[[#This Row],[Resolution_Time_Hours]] &gt; Table1[[#This Row],[SLA_Hours]],"Yes","No"))</f>
        <v>null</v>
      </c>
    </row>
    <row r="88" spans="1:11" x14ac:dyDescent="0.25">
      <c r="A88" s="1" t="s">
        <v>171</v>
      </c>
      <c r="B88" s="1" t="s">
        <v>55</v>
      </c>
      <c r="C88" s="1" t="s">
        <v>48</v>
      </c>
      <c r="D88" s="1" t="s">
        <v>20</v>
      </c>
      <c r="E88" s="1">
        <v>24</v>
      </c>
      <c r="F88" s="2">
        <v>46028.958333333336</v>
      </c>
      <c r="G88" s="2">
        <v>46029.25</v>
      </c>
      <c r="H88" s="1" t="s">
        <v>15</v>
      </c>
      <c r="I88" s="1" t="s">
        <v>49</v>
      </c>
      <c r="J88" s="5">
        <f>IF(Table1[[#This Row],[Ticket_Close_Date]] = "null", "null",((Table1[[#This Row],[Ticket_Close_Date]] - Table1[[#This Row],[Ticket_Open_Date]])*24))</f>
        <v>6.9999999999417923</v>
      </c>
      <c r="K88" s="1" t="str">
        <f>IF(Table1[[#This Row],[Resolution_Time_Hours]]="null", "null", IF( Table1[[#This Row],[Resolution_Time_Hours]] &gt; Table1[[#This Row],[SLA_Hours]],"Yes","No"))</f>
        <v>No</v>
      </c>
    </row>
    <row r="89" spans="1:11" x14ac:dyDescent="0.25">
      <c r="A89" s="1" t="s">
        <v>172</v>
      </c>
      <c r="B89" s="1" t="s">
        <v>173</v>
      </c>
      <c r="C89" s="1" t="s">
        <v>19</v>
      </c>
      <c r="D89" s="1" t="s">
        <v>30</v>
      </c>
      <c r="E89" s="1">
        <v>48</v>
      </c>
      <c r="F89" s="2">
        <v>46024.625</v>
      </c>
      <c r="G89" s="2">
        <v>46025.75</v>
      </c>
      <c r="H89" s="1" t="s">
        <v>15</v>
      </c>
      <c r="I89" s="1" t="s">
        <v>21</v>
      </c>
      <c r="J89" s="5">
        <f>IF(Table1[[#This Row],[Ticket_Close_Date]] = "null", "null",((Table1[[#This Row],[Ticket_Close_Date]] - Table1[[#This Row],[Ticket_Open_Date]])*24))</f>
        <v>27</v>
      </c>
      <c r="K89" s="1" t="str">
        <f>IF(Table1[[#This Row],[Resolution_Time_Hours]]="null", "null", IF( Table1[[#This Row],[Resolution_Time_Hours]] &gt; Table1[[#This Row],[SLA_Hours]],"Yes","No"))</f>
        <v>No</v>
      </c>
    </row>
    <row r="90" spans="1:11" x14ac:dyDescent="0.25">
      <c r="A90" s="1" t="s">
        <v>174</v>
      </c>
      <c r="B90" s="1" t="s">
        <v>175</v>
      </c>
      <c r="C90" s="1" t="s">
        <v>24</v>
      </c>
      <c r="D90" s="1" t="s">
        <v>14</v>
      </c>
      <c r="E90" s="1">
        <v>72</v>
      </c>
      <c r="F90" s="2">
        <v>46035.75</v>
      </c>
      <c r="G90" s="2">
        <v>46038.375</v>
      </c>
      <c r="H90" s="1" t="s">
        <v>15</v>
      </c>
      <c r="I90" s="1" t="s">
        <v>36</v>
      </c>
      <c r="J90" s="5">
        <f>IF(Table1[[#This Row],[Ticket_Close_Date]] = "null", "null",((Table1[[#This Row],[Ticket_Close_Date]] - Table1[[#This Row],[Ticket_Open_Date]])*24))</f>
        <v>63</v>
      </c>
      <c r="K90" s="1" t="str">
        <f>IF(Table1[[#This Row],[Resolution_Time_Hours]]="null", "null", IF( Table1[[#This Row],[Resolution_Time_Hours]] &gt; Table1[[#This Row],[SLA_Hours]],"Yes","No"))</f>
        <v>No</v>
      </c>
    </row>
    <row r="91" spans="1:11" x14ac:dyDescent="0.25">
      <c r="A91" s="1" t="s">
        <v>176</v>
      </c>
      <c r="B91" s="1" t="s">
        <v>130</v>
      </c>
      <c r="C91" s="1" t="s">
        <v>43</v>
      </c>
      <c r="D91" s="1" t="s">
        <v>14</v>
      </c>
      <c r="E91" s="1">
        <v>72</v>
      </c>
      <c r="F91" s="2">
        <v>46035.125</v>
      </c>
      <c r="G91" s="2">
        <v>46035.583333333336</v>
      </c>
      <c r="H91" s="1" t="s">
        <v>15</v>
      </c>
      <c r="I91" s="1" t="s">
        <v>49</v>
      </c>
      <c r="J91" s="5">
        <f>IF(Table1[[#This Row],[Ticket_Close_Date]] = "null", "null",((Table1[[#This Row],[Ticket_Close_Date]] - Table1[[#This Row],[Ticket_Open_Date]])*24))</f>
        <v>11.000000000058208</v>
      </c>
      <c r="K91" s="1" t="str">
        <f>IF(Table1[[#This Row],[Resolution_Time_Hours]]="null", "null", IF( Table1[[#This Row],[Resolution_Time_Hours]] &gt; Table1[[#This Row],[SLA_Hours]],"Yes","No"))</f>
        <v>No</v>
      </c>
    </row>
    <row r="92" spans="1:11" x14ac:dyDescent="0.25">
      <c r="A92" s="1" t="s">
        <v>177</v>
      </c>
      <c r="B92" s="1" t="s">
        <v>147</v>
      </c>
      <c r="C92" s="1" t="s">
        <v>13</v>
      </c>
      <c r="D92" s="1" t="s">
        <v>14</v>
      </c>
      <c r="E92" s="1">
        <v>72</v>
      </c>
      <c r="F92" s="2">
        <v>46025.541666666664</v>
      </c>
      <c r="G92" s="2">
        <v>46028.458333333336</v>
      </c>
      <c r="H92" s="1" t="s">
        <v>15</v>
      </c>
      <c r="I92" s="1" t="s">
        <v>36</v>
      </c>
      <c r="J92" s="5">
        <f>IF(Table1[[#This Row],[Ticket_Close_Date]] = "null", "null",((Table1[[#This Row],[Ticket_Close_Date]] - Table1[[#This Row],[Ticket_Open_Date]])*24))</f>
        <v>70.000000000116415</v>
      </c>
      <c r="K92" s="1" t="str">
        <f>IF(Table1[[#This Row],[Resolution_Time_Hours]]="null", "null", IF( Table1[[#This Row],[Resolution_Time_Hours]] &gt; Table1[[#This Row],[SLA_Hours]],"Yes","No"))</f>
        <v>No</v>
      </c>
    </row>
    <row r="93" spans="1:11" x14ac:dyDescent="0.25">
      <c r="A93" s="1" t="s">
        <v>178</v>
      </c>
      <c r="B93" s="1" t="s">
        <v>168</v>
      </c>
      <c r="C93" s="1" t="s">
        <v>13</v>
      </c>
      <c r="D93" s="1" t="s">
        <v>30</v>
      </c>
      <c r="E93" s="1">
        <v>48</v>
      </c>
      <c r="F93" s="2">
        <v>46028.166666666664</v>
      </c>
      <c r="G93" s="2">
        <v>46029.041666666664</v>
      </c>
      <c r="H93" s="1" t="s">
        <v>15</v>
      </c>
      <c r="I93" s="1" t="s">
        <v>36</v>
      </c>
      <c r="J93" s="5">
        <f>IF(Table1[[#This Row],[Ticket_Close_Date]] = "null", "null",((Table1[[#This Row],[Ticket_Close_Date]] - Table1[[#This Row],[Ticket_Open_Date]])*24))</f>
        <v>21</v>
      </c>
      <c r="K93" s="1" t="str">
        <f>IF(Table1[[#This Row],[Resolution_Time_Hours]]="null", "null", IF( Table1[[#This Row],[Resolution_Time_Hours]] &gt; Table1[[#This Row],[SLA_Hours]],"Yes","No"))</f>
        <v>No</v>
      </c>
    </row>
    <row r="94" spans="1:11" x14ac:dyDescent="0.25">
      <c r="A94" s="1" t="s">
        <v>179</v>
      </c>
      <c r="B94" s="1" t="s">
        <v>55</v>
      </c>
      <c r="C94" s="1" t="s">
        <v>19</v>
      </c>
      <c r="D94" s="1" t="s">
        <v>14</v>
      </c>
      <c r="E94" s="1">
        <v>72</v>
      </c>
      <c r="F94" s="2">
        <v>46032.125</v>
      </c>
      <c r="G94" s="2" t="s">
        <v>243</v>
      </c>
      <c r="H94" s="1" t="s">
        <v>35</v>
      </c>
      <c r="I94" s="1" t="s">
        <v>25</v>
      </c>
      <c r="J94" s="5" t="str">
        <f>IF(Table1[[#This Row],[Ticket_Close_Date]] = "null", "null",((Table1[[#This Row],[Ticket_Close_Date]] - Table1[[#This Row],[Ticket_Open_Date]])*24))</f>
        <v>null</v>
      </c>
      <c r="K94" s="1" t="str">
        <f>IF(Table1[[#This Row],[Resolution_Time_Hours]]="null", "null", IF( Table1[[#This Row],[Resolution_Time_Hours]] &gt; Table1[[#This Row],[SLA_Hours]],"Yes","No"))</f>
        <v>null</v>
      </c>
    </row>
    <row r="95" spans="1:11" x14ac:dyDescent="0.25">
      <c r="A95" s="1" t="s">
        <v>180</v>
      </c>
      <c r="B95" s="1" t="s">
        <v>128</v>
      </c>
      <c r="C95" s="1" t="s">
        <v>48</v>
      </c>
      <c r="D95" s="1" t="s">
        <v>14</v>
      </c>
      <c r="E95" s="1">
        <v>72</v>
      </c>
      <c r="F95" s="2">
        <v>46023.625</v>
      </c>
      <c r="G95" s="2">
        <v>46025.041666666664</v>
      </c>
      <c r="H95" s="1" t="s">
        <v>15</v>
      </c>
      <c r="I95" s="1" t="s">
        <v>36</v>
      </c>
      <c r="J95" s="5">
        <f>IF(Table1[[#This Row],[Ticket_Close_Date]] = "null", "null",((Table1[[#This Row],[Ticket_Close_Date]] - Table1[[#This Row],[Ticket_Open_Date]])*24))</f>
        <v>33.999999999941792</v>
      </c>
      <c r="K95" s="1" t="str">
        <f>IF(Table1[[#This Row],[Resolution_Time_Hours]]="null", "null", IF( Table1[[#This Row],[Resolution_Time_Hours]] &gt; Table1[[#This Row],[SLA_Hours]],"Yes","No"))</f>
        <v>No</v>
      </c>
    </row>
    <row r="96" spans="1:11" x14ac:dyDescent="0.25">
      <c r="A96" s="1" t="s">
        <v>181</v>
      </c>
      <c r="B96" s="1" t="s">
        <v>58</v>
      </c>
      <c r="C96" s="1" t="s">
        <v>24</v>
      </c>
      <c r="D96" s="1" t="s">
        <v>14</v>
      </c>
      <c r="E96" s="1">
        <v>72</v>
      </c>
      <c r="F96" s="2">
        <v>46031.375</v>
      </c>
      <c r="G96" s="2">
        <v>46033.25</v>
      </c>
      <c r="H96" s="1" t="s">
        <v>15</v>
      </c>
      <c r="I96" s="1" t="s">
        <v>16</v>
      </c>
      <c r="J96" s="5">
        <f>IF(Table1[[#This Row],[Ticket_Close_Date]] = "null", "null",((Table1[[#This Row],[Ticket_Close_Date]] - Table1[[#This Row],[Ticket_Open_Date]])*24))</f>
        <v>45</v>
      </c>
      <c r="K96" s="1" t="str">
        <f>IF(Table1[[#This Row],[Resolution_Time_Hours]]="null", "null", IF( Table1[[#This Row],[Resolution_Time_Hours]] &gt; Table1[[#This Row],[SLA_Hours]],"Yes","No"))</f>
        <v>No</v>
      </c>
    </row>
    <row r="97" spans="1:11" x14ac:dyDescent="0.25">
      <c r="A97" s="1" t="s">
        <v>182</v>
      </c>
      <c r="B97" s="1" t="s">
        <v>58</v>
      </c>
      <c r="C97" s="1" t="s">
        <v>43</v>
      </c>
      <c r="D97" s="1" t="s">
        <v>14</v>
      </c>
      <c r="E97" s="1">
        <v>72</v>
      </c>
      <c r="F97" s="2">
        <v>46034.375</v>
      </c>
      <c r="G97" s="2" t="s">
        <v>243</v>
      </c>
      <c r="H97" s="1" t="s">
        <v>35</v>
      </c>
      <c r="I97" s="1" t="s">
        <v>16</v>
      </c>
      <c r="J97" s="5" t="str">
        <f>IF(Table1[[#This Row],[Ticket_Close_Date]] = "null", "null",((Table1[[#This Row],[Ticket_Close_Date]] - Table1[[#This Row],[Ticket_Open_Date]])*24))</f>
        <v>null</v>
      </c>
      <c r="K97" s="1" t="str">
        <f>IF(Table1[[#This Row],[Resolution_Time_Hours]]="null", "null", IF( Table1[[#This Row],[Resolution_Time_Hours]] &gt; Table1[[#This Row],[SLA_Hours]],"Yes","No"))</f>
        <v>null</v>
      </c>
    </row>
    <row r="98" spans="1:11" x14ac:dyDescent="0.25">
      <c r="A98" s="1" t="s">
        <v>183</v>
      </c>
      <c r="B98" s="1" t="s">
        <v>51</v>
      </c>
      <c r="C98" s="1" t="s">
        <v>13</v>
      </c>
      <c r="D98" s="1" t="s">
        <v>14</v>
      </c>
      <c r="E98" s="1">
        <v>72</v>
      </c>
      <c r="F98" s="2">
        <v>46034.666666666664</v>
      </c>
      <c r="G98" s="2" t="s">
        <v>243</v>
      </c>
      <c r="H98" s="1" t="s">
        <v>35</v>
      </c>
      <c r="I98" s="1" t="s">
        <v>36</v>
      </c>
      <c r="J98" s="5" t="str">
        <f>IF(Table1[[#This Row],[Ticket_Close_Date]] = "null", "null",((Table1[[#This Row],[Ticket_Close_Date]] - Table1[[#This Row],[Ticket_Open_Date]])*24))</f>
        <v>null</v>
      </c>
      <c r="K98" s="1" t="str">
        <f>IF(Table1[[#This Row],[Resolution_Time_Hours]]="null", "null", IF( Table1[[#This Row],[Resolution_Time_Hours]] &gt; Table1[[#This Row],[SLA_Hours]],"Yes","No"))</f>
        <v>null</v>
      </c>
    </row>
    <row r="99" spans="1:11" x14ac:dyDescent="0.25">
      <c r="A99" s="1" t="s">
        <v>184</v>
      </c>
      <c r="B99" s="1" t="s">
        <v>133</v>
      </c>
      <c r="C99" s="1" t="s">
        <v>43</v>
      </c>
      <c r="D99" s="1" t="s">
        <v>14</v>
      </c>
      <c r="E99" s="1">
        <v>72</v>
      </c>
      <c r="F99" s="2">
        <v>46024.916666666664</v>
      </c>
      <c r="G99" s="2">
        <v>46025.208333333336</v>
      </c>
      <c r="H99" s="1" t="s">
        <v>15</v>
      </c>
      <c r="I99" s="1" t="s">
        <v>49</v>
      </c>
      <c r="J99" s="5">
        <f>IF(Table1[[#This Row],[Ticket_Close_Date]] = "null", "null",((Table1[[#This Row],[Ticket_Close_Date]] - Table1[[#This Row],[Ticket_Open_Date]])*24))</f>
        <v>7.0000000001164153</v>
      </c>
      <c r="K99" s="1" t="str">
        <f>IF(Table1[[#This Row],[Resolution_Time_Hours]]="null", "null", IF( Table1[[#This Row],[Resolution_Time_Hours]] &gt; Table1[[#This Row],[SLA_Hours]],"Yes","No"))</f>
        <v>No</v>
      </c>
    </row>
    <row r="100" spans="1:11" x14ac:dyDescent="0.25">
      <c r="A100" s="1" t="s">
        <v>185</v>
      </c>
      <c r="B100" s="1" t="s">
        <v>128</v>
      </c>
      <c r="C100" s="1" t="s">
        <v>13</v>
      </c>
      <c r="D100" s="1" t="s">
        <v>14</v>
      </c>
      <c r="E100" s="1">
        <v>72</v>
      </c>
      <c r="F100" s="2">
        <v>46029.333333333336</v>
      </c>
      <c r="G100" s="2">
        <v>46029.541666666664</v>
      </c>
      <c r="H100" s="1" t="s">
        <v>15</v>
      </c>
      <c r="I100" s="1" t="s">
        <v>36</v>
      </c>
      <c r="J100" s="5">
        <f>IF(Table1[[#This Row],[Ticket_Close_Date]] = "null", "null",((Table1[[#This Row],[Ticket_Close_Date]] - Table1[[#This Row],[Ticket_Open_Date]])*24))</f>
        <v>4.9999999998835847</v>
      </c>
      <c r="K100" s="1" t="str">
        <f>IF(Table1[[#This Row],[Resolution_Time_Hours]]="null", "null", IF( Table1[[#This Row],[Resolution_Time_Hours]] &gt; Table1[[#This Row],[SLA_Hours]],"Yes","No"))</f>
        <v>No</v>
      </c>
    </row>
    <row r="101" spans="1:11" x14ac:dyDescent="0.25">
      <c r="A101" s="1" t="s">
        <v>186</v>
      </c>
      <c r="B101" s="1" t="s">
        <v>156</v>
      </c>
      <c r="C101" s="1" t="s">
        <v>19</v>
      </c>
      <c r="D101" s="1" t="s">
        <v>20</v>
      </c>
      <c r="E101" s="1">
        <v>24</v>
      </c>
      <c r="F101" s="2">
        <v>46028.708333333336</v>
      </c>
      <c r="G101" s="2">
        <v>46029.791666666664</v>
      </c>
      <c r="H101" s="1" t="s">
        <v>15</v>
      </c>
      <c r="I101" s="1" t="s">
        <v>36</v>
      </c>
      <c r="J101" s="5">
        <f>IF(Table1[[#This Row],[Ticket_Close_Date]] = "null", "null",((Table1[[#This Row],[Ticket_Close_Date]] - Table1[[#This Row],[Ticket_Open_Date]])*24))</f>
        <v>25.999999999883585</v>
      </c>
      <c r="K101" s="1" t="str">
        <f>IF(Table1[[#This Row],[Resolution_Time_Hours]]="null", "null", IF( Table1[[#This Row],[Resolution_Time_Hours]] &gt; Table1[[#This Row],[SLA_Hours]],"Yes","No"))</f>
        <v>Yes</v>
      </c>
    </row>
    <row r="102" spans="1:11" x14ac:dyDescent="0.25">
      <c r="A102" s="1" t="s">
        <v>187</v>
      </c>
      <c r="B102" s="1" t="s">
        <v>27</v>
      </c>
      <c r="C102" s="1" t="s">
        <v>19</v>
      </c>
      <c r="D102" s="1" t="s">
        <v>30</v>
      </c>
      <c r="E102" s="1">
        <v>48</v>
      </c>
      <c r="F102" s="2">
        <v>46032.541666666664</v>
      </c>
      <c r="G102" s="2">
        <v>46034.708333333336</v>
      </c>
      <c r="H102" s="1" t="s">
        <v>15</v>
      </c>
      <c r="I102" s="1" t="s">
        <v>25</v>
      </c>
      <c r="J102" s="5">
        <f>IF(Table1[[#This Row],[Ticket_Close_Date]] = "null", "null",((Table1[[#This Row],[Ticket_Close_Date]] - Table1[[#This Row],[Ticket_Open_Date]])*24))</f>
        <v>52.000000000116415</v>
      </c>
      <c r="K102" s="1" t="str">
        <f>IF(Table1[[#This Row],[Resolution_Time_Hours]]="null", "null", IF( Table1[[#This Row],[Resolution_Time_Hours]] &gt; Table1[[#This Row],[SLA_Hours]],"Yes","No"))</f>
        <v>Yes</v>
      </c>
    </row>
    <row r="103" spans="1:11" x14ac:dyDescent="0.25">
      <c r="A103" s="1" t="s">
        <v>188</v>
      </c>
      <c r="B103" s="1" t="s">
        <v>138</v>
      </c>
      <c r="C103" s="1" t="s">
        <v>13</v>
      </c>
      <c r="D103" s="1" t="s">
        <v>20</v>
      </c>
      <c r="E103" s="1">
        <v>24</v>
      </c>
      <c r="F103" s="2">
        <v>46025.25</v>
      </c>
      <c r="G103" s="2" t="s">
        <v>243</v>
      </c>
      <c r="H103" s="1" t="s">
        <v>35</v>
      </c>
      <c r="I103" s="1" t="s">
        <v>49</v>
      </c>
      <c r="J103" s="5" t="str">
        <f>IF(Table1[[#This Row],[Ticket_Close_Date]] = "null", "null",((Table1[[#This Row],[Ticket_Close_Date]] - Table1[[#This Row],[Ticket_Open_Date]])*24))</f>
        <v>null</v>
      </c>
      <c r="K103" s="1" t="str">
        <f>IF(Table1[[#This Row],[Resolution_Time_Hours]]="null", "null", IF( Table1[[#This Row],[Resolution_Time_Hours]] &gt; Table1[[#This Row],[SLA_Hours]],"Yes","No"))</f>
        <v>null</v>
      </c>
    </row>
    <row r="104" spans="1:11" x14ac:dyDescent="0.25">
      <c r="A104" s="1" t="s">
        <v>189</v>
      </c>
      <c r="B104" s="1" t="s">
        <v>65</v>
      </c>
      <c r="C104" s="1" t="s">
        <v>13</v>
      </c>
      <c r="D104" s="1" t="s">
        <v>30</v>
      </c>
      <c r="E104" s="1">
        <v>48</v>
      </c>
      <c r="F104" s="2">
        <v>46025.333333333336</v>
      </c>
      <c r="G104" s="2" t="s">
        <v>243</v>
      </c>
      <c r="H104" s="1" t="s">
        <v>35</v>
      </c>
      <c r="I104" s="1" t="s">
        <v>16</v>
      </c>
      <c r="J104" s="5" t="str">
        <f>IF(Table1[[#This Row],[Ticket_Close_Date]] = "null", "null",((Table1[[#This Row],[Ticket_Close_Date]] - Table1[[#This Row],[Ticket_Open_Date]])*24))</f>
        <v>null</v>
      </c>
      <c r="K104" s="1" t="str">
        <f>IF(Table1[[#This Row],[Resolution_Time_Hours]]="null", "null", IF( Table1[[#This Row],[Resolution_Time_Hours]] &gt; Table1[[#This Row],[SLA_Hours]],"Yes","No"))</f>
        <v>null</v>
      </c>
    </row>
    <row r="105" spans="1:11" x14ac:dyDescent="0.25">
      <c r="A105" s="1" t="s">
        <v>190</v>
      </c>
      <c r="B105" s="1" t="s">
        <v>27</v>
      </c>
      <c r="C105" s="1" t="s">
        <v>19</v>
      </c>
      <c r="D105" s="1" t="s">
        <v>14</v>
      </c>
      <c r="E105" s="1">
        <v>72</v>
      </c>
      <c r="F105" s="2">
        <v>46030.333333333336</v>
      </c>
      <c r="G105" s="2">
        <v>46033.333333333336</v>
      </c>
      <c r="H105" s="1" t="s">
        <v>15</v>
      </c>
      <c r="I105" s="1" t="s">
        <v>36</v>
      </c>
      <c r="J105" s="5">
        <f>IF(Table1[[#This Row],[Ticket_Close_Date]] = "null", "null",((Table1[[#This Row],[Ticket_Close_Date]] - Table1[[#This Row],[Ticket_Open_Date]])*24))</f>
        <v>72</v>
      </c>
      <c r="K105" s="1" t="str">
        <f>IF(Table1[[#This Row],[Resolution_Time_Hours]]="null", "null", IF( Table1[[#This Row],[Resolution_Time_Hours]] &gt; Table1[[#This Row],[SLA_Hours]],"Yes","No"))</f>
        <v>No</v>
      </c>
    </row>
    <row r="106" spans="1:11" x14ac:dyDescent="0.25">
      <c r="A106" s="1" t="s">
        <v>191</v>
      </c>
      <c r="B106" s="1" t="s">
        <v>160</v>
      </c>
      <c r="C106" s="1" t="s">
        <v>13</v>
      </c>
      <c r="D106" s="1" t="s">
        <v>14</v>
      </c>
      <c r="E106" s="1">
        <v>72</v>
      </c>
      <c r="F106" s="2">
        <v>46024</v>
      </c>
      <c r="G106" s="2">
        <v>46026.75</v>
      </c>
      <c r="H106" s="1" t="s">
        <v>15</v>
      </c>
      <c r="I106" s="1" t="s">
        <v>21</v>
      </c>
      <c r="J106" s="5">
        <f>IF(Table1[[#This Row],[Ticket_Close_Date]] = "null", "null",((Table1[[#This Row],[Ticket_Close_Date]] - Table1[[#This Row],[Ticket_Open_Date]])*24))</f>
        <v>66</v>
      </c>
      <c r="K106" s="1" t="str">
        <f>IF(Table1[[#This Row],[Resolution_Time_Hours]]="null", "null", IF( Table1[[#This Row],[Resolution_Time_Hours]] &gt; Table1[[#This Row],[SLA_Hours]],"Yes","No"))</f>
        <v>No</v>
      </c>
    </row>
    <row r="107" spans="1:11" x14ac:dyDescent="0.25">
      <c r="A107" s="1" t="s">
        <v>192</v>
      </c>
      <c r="B107" s="1" t="s">
        <v>94</v>
      </c>
      <c r="C107" s="1" t="s">
        <v>13</v>
      </c>
      <c r="D107" s="1" t="s">
        <v>14</v>
      </c>
      <c r="E107" s="1">
        <v>72</v>
      </c>
      <c r="F107" s="2">
        <v>46027.625</v>
      </c>
      <c r="G107" s="2" t="s">
        <v>243</v>
      </c>
      <c r="H107" s="1" t="s">
        <v>35</v>
      </c>
      <c r="I107" s="1" t="s">
        <v>49</v>
      </c>
      <c r="J107" s="5" t="str">
        <f>IF(Table1[[#This Row],[Ticket_Close_Date]] = "null", "null",((Table1[[#This Row],[Ticket_Close_Date]] - Table1[[#This Row],[Ticket_Open_Date]])*24))</f>
        <v>null</v>
      </c>
      <c r="K107" s="1" t="str">
        <f>IF(Table1[[#This Row],[Resolution_Time_Hours]]="null", "null", IF( Table1[[#This Row],[Resolution_Time_Hours]] &gt; Table1[[#This Row],[SLA_Hours]],"Yes","No"))</f>
        <v>null</v>
      </c>
    </row>
    <row r="108" spans="1:11" x14ac:dyDescent="0.25">
      <c r="A108" s="1" t="s">
        <v>193</v>
      </c>
      <c r="B108" s="1" t="s">
        <v>194</v>
      </c>
      <c r="C108" s="1" t="s">
        <v>24</v>
      </c>
      <c r="D108" s="1" t="s">
        <v>30</v>
      </c>
      <c r="E108" s="1">
        <v>48</v>
      </c>
      <c r="F108" s="2">
        <v>46026.708333333336</v>
      </c>
      <c r="G108" s="2">
        <v>46026.958333333336</v>
      </c>
      <c r="H108" s="1" t="s">
        <v>15</v>
      </c>
      <c r="I108" s="1" t="s">
        <v>25</v>
      </c>
      <c r="J108" s="5">
        <f>IF(Table1[[#This Row],[Ticket_Close_Date]] = "null", "null",((Table1[[#This Row],[Ticket_Close_Date]] - Table1[[#This Row],[Ticket_Open_Date]])*24))</f>
        <v>6</v>
      </c>
      <c r="K108" s="1" t="str">
        <f>IF(Table1[[#This Row],[Resolution_Time_Hours]]="null", "null", IF( Table1[[#This Row],[Resolution_Time_Hours]] &gt; Table1[[#This Row],[SLA_Hours]],"Yes","No"))</f>
        <v>No</v>
      </c>
    </row>
    <row r="109" spans="1:11" x14ac:dyDescent="0.25">
      <c r="A109" s="1" t="s">
        <v>195</v>
      </c>
      <c r="B109" s="1" t="s">
        <v>92</v>
      </c>
      <c r="C109" s="1" t="s">
        <v>19</v>
      </c>
      <c r="D109" s="1" t="s">
        <v>14</v>
      </c>
      <c r="E109" s="1">
        <v>72</v>
      </c>
      <c r="F109" s="2">
        <v>46030.166666666664</v>
      </c>
      <c r="G109" s="2" t="s">
        <v>243</v>
      </c>
      <c r="H109" s="1" t="s">
        <v>35</v>
      </c>
      <c r="I109" s="1" t="s">
        <v>21</v>
      </c>
      <c r="J109" s="5" t="str">
        <f>IF(Table1[[#This Row],[Ticket_Close_Date]] = "null", "null",((Table1[[#This Row],[Ticket_Close_Date]] - Table1[[#This Row],[Ticket_Open_Date]])*24))</f>
        <v>null</v>
      </c>
      <c r="K109" s="1" t="str">
        <f>IF(Table1[[#This Row],[Resolution_Time_Hours]]="null", "null", IF( Table1[[#This Row],[Resolution_Time_Hours]] &gt; Table1[[#This Row],[SLA_Hours]],"Yes","No"))</f>
        <v>null</v>
      </c>
    </row>
    <row r="110" spans="1:11" x14ac:dyDescent="0.25">
      <c r="A110" s="1" t="s">
        <v>196</v>
      </c>
      <c r="B110" s="1" t="s">
        <v>156</v>
      </c>
      <c r="C110" s="1" t="s">
        <v>48</v>
      </c>
      <c r="D110" s="1" t="s">
        <v>14</v>
      </c>
      <c r="E110" s="1">
        <v>72</v>
      </c>
      <c r="F110" s="2">
        <v>46032</v>
      </c>
      <c r="G110" s="2">
        <v>46034.041666666664</v>
      </c>
      <c r="H110" s="1" t="s">
        <v>15</v>
      </c>
      <c r="I110" s="1" t="s">
        <v>25</v>
      </c>
      <c r="J110" s="5">
        <f>IF(Table1[[#This Row],[Ticket_Close_Date]] = "null", "null",((Table1[[#This Row],[Ticket_Close_Date]] - Table1[[#This Row],[Ticket_Open_Date]])*24))</f>
        <v>48.999999999941792</v>
      </c>
      <c r="K110" s="1" t="str">
        <f>IF(Table1[[#This Row],[Resolution_Time_Hours]]="null", "null", IF( Table1[[#This Row],[Resolution_Time_Hours]] &gt; Table1[[#This Row],[SLA_Hours]],"Yes","No"))</f>
        <v>No</v>
      </c>
    </row>
    <row r="111" spans="1:11" x14ac:dyDescent="0.25">
      <c r="A111" s="1" t="s">
        <v>197</v>
      </c>
      <c r="B111" s="1" t="s">
        <v>135</v>
      </c>
      <c r="C111" s="1" t="s">
        <v>13</v>
      </c>
      <c r="D111" s="1" t="s">
        <v>30</v>
      </c>
      <c r="E111" s="1">
        <v>48</v>
      </c>
      <c r="F111" s="2">
        <v>46031.375</v>
      </c>
      <c r="G111" s="2">
        <v>46032.458333333336</v>
      </c>
      <c r="H111" s="1" t="s">
        <v>15</v>
      </c>
      <c r="I111" s="1" t="s">
        <v>16</v>
      </c>
      <c r="J111" s="5">
        <f>IF(Table1[[#This Row],[Ticket_Close_Date]] = "null", "null",((Table1[[#This Row],[Ticket_Close_Date]] - Table1[[#This Row],[Ticket_Open_Date]])*24))</f>
        <v>26.000000000058208</v>
      </c>
      <c r="K111" s="1" t="str">
        <f>IF(Table1[[#This Row],[Resolution_Time_Hours]]="null", "null", IF( Table1[[#This Row],[Resolution_Time_Hours]] &gt; Table1[[#This Row],[SLA_Hours]],"Yes","No"))</f>
        <v>No</v>
      </c>
    </row>
    <row r="112" spans="1:11" x14ac:dyDescent="0.25">
      <c r="A112" s="1" t="s">
        <v>198</v>
      </c>
      <c r="B112" s="1" t="s">
        <v>29</v>
      </c>
      <c r="C112" s="1" t="s">
        <v>19</v>
      </c>
      <c r="D112" s="1" t="s">
        <v>20</v>
      </c>
      <c r="E112" s="1">
        <v>24</v>
      </c>
      <c r="F112" s="2">
        <v>46028.166666666664</v>
      </c>
      <c r="G112" s="2" t="s">
        <v>243</v>
      </c>
      <c r="H112" s="1" t="s">
        <v>35</v>
      </c>
      <c r="I112" s="1" t="s">
        <v>16</v>
      </c>
      <c r="J112" s="5" t="str">
        <f>IF(Table1[[#This Row],[Ticket_Close_Date]] = "null", "null",((Table1[[#This Row],[Ticket_Close_Date]] - Table1[[#This Row],[Ticket_Open_Date]])*24))</f>
        <v>null</v>
      </c>
      <c r="K112" s="1" t="str">
        <f>IF(Table1[[#This Row],[Resolution_Time_Hours]]="null", "null", IF( Table1[[#This Row],[Resolution_Time_Hours]] &gt; Table1[[#This Row],[SLA_Hours]],"Yes","No"))</f>
        <v>null</v>
      </c>
    </row>
    <row r="113" spans="1:11" x14ac:dyDescent="0.25">
      <c r="A113" s="1" t="s">
        <v>199</v>
      </c>
      <c r="B113" s="1" t="s">
        <v>200</v>
      </c>
      <c r="C113" s="1" t="s">
        <v>13</v>
      </c>
      <c r="D113" s="1" t="s">
        <v>20</v>
      </c>
      <c r="E113" s="1">
        <v>24</v>
      </c>
      <c r="F113" s="2">
        <v>46032.5</v>
      </c>
      <c r="G113" s="2">
        <v>46032.875</v>
      </c>
      <c r="H113" s="1" t="s">
        <v>15</v>
      </c>
      <c r="I113" s="1" t="s">
        <v>21</v>
      </c>
      <c r="J113" s="5">
        <f>IF(Table1[[#This Row],[Ticket_Close_Date]] = "null", "null",((Table1[[#This Row],[Ticket_Close_Date]] - Table1[[#This Row],[Ticket_Open_Date]])*24))</f>
        <v>9</v>
      </c>
      <c r="K113" s="1" t="str">
        <f>IF(Table1[[#This Row],[Resolution_Time_Hours]]="null", "null", IF( Table1[[#This Row],[Resolution_Time_Hours]] &gt; Table1[[#This Row],[SLA_Hours]],"Yes","No"))</f>
        <v>No</v>
      </c>
    </row>
    <row r="114" spans="1:11" x14ac:dyDescent="0.25">
      <c r="A114" s="1" t="s">
        <v>201</v>
      </c>
      <c r="B114" s="1" t="s">
        <v>202</v>
      </c>
      <c r="C114" s="1" t="s">
        <v>24</v>
      </c>
      <c r="D114" s="1" t="s">
        <v>14</v>
      </c>
      <c r="E114" s="1">
        <v>72</v>
      </c>
      <c r="F114" s="2">
        <v>46028.916666666664</v>
      </c>
      <c r="G114" s="2">
        <v>46032.25</v>
      </c>
      <c r="H114" s="1" t="s">
        <v>15</v>
      </c>
      <c r="I114" s="1" t="s">
        <v>16</v>
      </c>
      <c r="J114" s="5">
        <f>IF(Table1[[#This Row],[Ticket_Close_Date]] = "null", "null",((Table1[[#This Row],[Ticket_Close_Date]] - Table1[[#This Row],[Ticket_Open_Date]])*24))</f>
        <v>80.000000000058208</v>
      </c>
      <c r="K114" s="1" t="str">
        <f>IF(Table1[[#This Row],[Resolution_Time_Hours]]="null", "null", IF( Table1[[#This Row],[Resolution_Time_Hours]] &gt; Table1[[#This Row],[SLA_Hours]],"Yes","No"))</f>
        <v>Yes</v>
      </c>
    </row>
    <row r="115" spans="1:11" x14ac:dyDescent="0.25">
      <c r="A115" s="1" t="s">
        <v>203</v>
      </c>
      <c r="B115" s="1" t="s">
        <v>135</v>
      </c>
      <c r="C115" s="1" t="s">
        <v>24</v>
      </c>
      <c r="D115" s="1" t="s">
        <v>20</v>
      </c>
      <c r="E115" s="1">
        <v>24</v>
      </c>
      <c r="F115" s="2">
        <v>46032.083333333336</v>
      </c>
      <c r="G115" s="2" t="s">
        <v>243</v>
      </c>
      <c r="H115" s="1" t="s">
        <v>35</v>
      </c>
      <c r="I115" s="1" t="s">
        <v>16</v>
      </c>
      <c r="J115" s="5" t="str">
        <f>IF(Table1[[#This Row],[Ticket_Close_Date]] = "null", "null",((Table1[[#This Row],[Ticket_Close_Date]] - Table1[[#This Row],[Ticket_Open_Date]])*24))</f>
        <v>null</v>
      </c>
      <c r="K115" s="1" t="str">
        <f>IF(Table1[[#This Row],[Resolution_Time_Hours]]="null", "null", IF( Table1[[#This Row],[Resolution_Time_Hours]] &gt; Table1[[#This Row],[SLA_Hours]],"Yes","No"))</f>
        <v>null</v>
      </c>
    </row>
    <row r="116" spans="1:11" x14ac:dyDescent="0.25">
      <c r="A116" s="1" t="s">
        <v>204</v>
      </c>
      <c r="B116" s="1" t="s">
        <v>114</v>
      </c>
      <c r="C116" s="1" t="s">
        <v>13</v>
      </c>
      <c r="D116" s="1" t="s">
        <v>14</v>
      </c>
      <c r="E116" s="1">
        <v>72</v>
      </c>
      <c r="F116" s="2">
        <v>46030.333333333336</v>
      </c>
      <c r="G116" s="2">
        <v>46032</v>
      </c>
      <c r="H116" s="1" t="s">
        <v>15</v>
      </c>
      <c r="I116" s="1" t="s">
        <v>36</v>
      </c>
      <c r="J116" s="5">
        <f>IF(Table1[[#This Row],[Ticket_Close_Date]] = "null", "null",((Table1[[#This Row],[Ticket_Close_Date]] - Table1[[#This Row],[Ticket_Open_Date]])*24))</f>
        <v>39.999999999941792</v>
      </c>
      <c r="K116" s="1" t="str">
        <f>IF(Table1[[#This Row],[Resolution_Time_Hours]]="null", "null", IF( Table1[[#This Row],[Resolution_Time_Hours]] &gt; Table1[[#This Row],[SLA_Hours]],"Yes","No"))</f>
        <v>No</v>
      </c>
    </row>
    <row r="117" spans="1:11" x14ac:dyDescent="0.25">
      <c r="A117" s="1" t="s">
        <v>205</v>
      </c>
      <c r="B117" s="1" t="s">
        <v>138</v>
      </c>
      <c r="C117" s="1" t="s">
        <v>19</v>
      </c>
      <c r="D117" s="1" t="s">
        <v>20</v>
      </c>
      <c r="E117" s="1">
        <v>24</v>
      </c>
      <c r="F117" s="2">
        <v>46028.125</v>
      </c>
      <c r="G117" s="2">
        <v>46031.125</v>
      </c>
      <c r="H117" s="1" t="s">
        <v>15</v>
      </c>
      <c r="I117" s="1" t="s">
        <v>25</v>
      </c>
      <c r="J117" s="5">
        <f>IF(Table1[[#This Row],[Ticket_Close_Date]] = "null", "null",((Table1[[#This Row],[Ticket_Close_Date]] - Table1[[#This Row],[Ticket_Open_Date]])*24))</f>
        <v>72</v>
      </c>
      <c r="K117" s="1" t="str">
        <f>IF(Table1[[#This Row],[Resolution_Time_Hours]]="null", "null", IF( Table1[[#This Row],[Resolution_Time_Hours]] &gt; Table1[[#This Row],[SLA_Hours]],"Yes","No"))</f>
        <v>Yes</v>
      </c>
    </row>
    <row r="118" spans="1:11" x14ac:dyDescent="0.25">
      <c r="A118" s="1" t="s">
        <v>206</v>
      </c>
      <c r="B118" s="1" t="s">
        <v>38</v>
      </c>
      <c r="C118" s="1" t="s">
        <v>48</v>
      </c>
      <c r="D118" s="1" t="s">
        <v>14</v>
      </c>
      <c r="E118" s="1">
        <v>72</v>
      </c>
      <c r="F118" s="2">
        <v>46033.625</v>
      </c>
      <c r="G118" s="2" t="s">
        <v>243</v>
      </c>
      <c r="H118" s="1" t="s">
        <v>35</v>
      </c>
      <c r="I118" s="1" t="s">
        <v>21</v>
      </c>
      <c r="J118" s="5" t="str">
        <f>IF(Table1[[#This Row],[Ticket_Close_Date]] = "null", "null",((Table1[[#This Row],[Ticket_Close_Date]] - Table1[[#This Row],[Ticket_Open_Date]])*24))</f>
        <v>null</v>
      </c>
      <c r="K118" s="1" t="str">
        <f>IF(Table1[[#This Row],[Resolution_Time_Hours]]="null", "null", IF( Table1[[#This Row],[Resolution_Time_Hours]] &gt; Table1[[#This Row],[SLA_Hours]],"Yes","No"))</f>
        <v>null</v>
      </c>
    </row>
    <row r="119" spans="1:11" x14ac:dyDescent="0.25">
      <c r="A119" s="1" t="s">
        <v>207</v>
      </c>
      <c r="B119" s="1" t="s">
        <v>147</v>
      </c>
      <c r="C119" s="1" t="s">
        <v>24</v>
      </c>
      <c r="D119" s="1" t="s">
        <v>20</v>
      </c>
      <c r="E119" s="1">
        <v>24</v>
      </c>
      <c r="F119" s="2">
        <v>46026.875</v>
      </c>
      <c r="G119" s="2">
        <v>46029.833333333336</v>
      </c>
      <c r="H119" s="1" t="s">
        <v>15</v>
      </c>
      <c r="I119" s="1" t="s">
        <v>36</v>
      </c>
      <c r="J119" s="5">
        <f>IF(Table1[[#This Row],[Ticket_Close_Date]] = "null", "null",((Table1[[#This Row],[Ticket_Close_Date]] - Table1[[#This Row],[Ticket_Open_Date]])*24))</f>
        <v>71.000000000058208</v>
      </c>
      <c r="K119" s="1" t="str">
        <f>IF(Table1[[#This Row],[Resolution_Time_Hours]]="null", "null", IF( Table1[[#This Row],[Resolution_Time_Hours]] &gt; Table1[[#This Row],[SLA_Hours]],"Yes","No"))</f>
        <v>Yes</v>
      </c>
    </row>
    <row r="120" spans="1:11" x14ac:dyDescent="0.25">
      <c r="A120" s="1" t="s">
        <v>208</v>
      </c>
      <c r="B120" s="1" t="s">
        <v>71</v>
      </c>
      <c r="C120" s="1" t="s">
        <v>13</v>
      </c>
      <c r="D120" s="1" t="s">
        <v>20</v>
      </c>
      <c r="E120" s="1">
        <v>24</v>
      </c>
      <c r="F120" s="2">
        <v>46026.666666666664</v>
      </c>
      <c r="G120" s="2">
        <v>46029.791666666664</v>
      </c>
      <c r="H120" s="1" t="s">
        <v>15</v>
      </c>
      <c r="I120" s="1" t="s">
        <v>21</v>
      </c>
      <c r="J120" s="5">
        <f>IF(Table1[[#This Row],[Ticket_Close_Date]] = "null", "null",((Table1[[#This Row],[Ticket_Close_Date]] - Table1[[#This Row],[Ticket_Open_Date]])*24))</f>
        <v>75</v>
      </c>
      <c r="K120" s="1" t="str">
        <f>IF(Table1[[#This Row],[Resolution_Time_Hours]]="null", "null", IF( Table1[[#This Row],[Resolution_Time_Hours]] &gt; Table1[[#This Row],[SLA_Hours]],"Yes","No"))</f>
        <v>Yes</v>
      </c>
    </row>
    <row r="121" spans="1:11" x14ac:dyDescent="0.25">
      <c r="A121" s="1" t="s">
        <v>209</v>
      </c>
      <c r="B121" s="1" t="s">
        <v>147</v>
      </c>
      <c r="C121" s="1" t="s">
        <v>13</v>
      </c>
      <c r="D121" s="1" t="s">
        <v>14</v>
      </c>
      <c r="E121" s="1">
        <v>72</v>
      </c>
      <c r="F121" s="2">
        <v>46026.958333333336</v>
      </c>
      <c r="G121" s="2">
        <v>46027.916666666664</v>
      </c>
      <c r="H121" s="1" t="s">
        <v>15</v>
      </c>
      <c r="I121" s="1" t="s">
        <v>16</v>
      </c>
      <c r="J121" s="5">
        <f>IF(Table1[[#This Row],[Ticket_Close_Date]] = "null", "null",((Table1[[#This Row],[Ticket_Close_Date]] - Table1[[#This Row],[Ticket_Open_Date]])*24))</f>
        <v>22.999999999883585</v>
      </c>
      <c r="K121" s="1" t="str">
        <f>IF(Table1[[#This Row],[Resolution_Time_Hours]]="null", "null", IF( Table1[[#This Row],[Resolution_Time_Hours]] &gt; Table1[[#This Row],[SLA_Hours]],"Yes","No"))</f>
        <v>No</v>
      </c>
    </row>
    <row r="122" spans="1:11" x14ac:dyDescent="0.25">
      <c r="A122" s="1" t="s">
        <v>210</v>
      </c>
      <c r="B122" s="1" t="s">
        <v>29</v>
      </c>
      <c r="C122" s="1" t="s">
        <v>19</v>
      </c>
      <c r="D122" s="1" t="s">
        <v>30</v>
      </c>
      <c r="E122" s="1">
        <v>48</v>
      </c>
      <c r="F122" s="2">
        <v>46032.541666666664</v>
      </c>
      <c r="G122" s="2" t="s">
        <v>243</v>
      </c>
      <c r="H122" s="1" t="s">
        <v>35</v>
      </c>
      <c r="I122" s="1" t="s">
        <v>49</v>
      </c>
      <c r="J122" s="5" t="str">
        <f>IF(Table1[[#This Row],[Ticket_Close_Date]] = "null", "null",((Table1[[#This Row],[Ticket_Close_Date]] - Table1[[#This Row],[Ticket_Open_Date]])*24))</f>
        <v>null</v>
      </c>
      <c r="K122" s="1" t="str">
        <f>IF(Table1[[#This Row],[Resolution_Time_Hours]]="null", "null", IF( Table1[[#This Row],[Resolution_Time_Hours]] &gt; Table1[[#This Row],[SLA_Hours]],"Yes","No"))</f>
        <v>null</v>
      </c>
    </row>
    <row r="123" spans="1:11" x14ac:dyDescent="0.25">
      <c r="A123" s="1" t="s">
        <v>211</v>
      </c>
      <c r="B123" s="1" t="s">
        <v>130</v>
      </c>
      <c r="C123" s="1" t="s">
        <v>43</v>
      </c>
      <c r="D123" s="1" t="s">
        <v>20</v>
      </c>
      <c r="E123" s="1">
        <v>24</v>
      </c>
      <c r="F123" s="2">
        <v>46033.875</v>
      </c>
      <c r="G123" s="2">
        <v>46034.916666666664</v>
      </c>
      <c r="H123" s="1" t="s">
        <v>15</v>
      </c>
      <c r="I123" s="1" t="s">
        <v>36</v>
      </c>
      <c r="J123" s="5">
        <f>IF(Table1[[#This Row],[Ticket_Close_Date]] = "null", "null",((Table1[[#This Row],[Ticket_Close_Date]] - Table1[[#This Row],[Ticket_Open_Date]])*24))</f>
        <v>24.999999999941792</v>
      </c>
      <c r="K123" s="1" t="str">
        <f>IF(Table1[[#This Row],[Resolution_Time_Hours]]="null", "null", IF( Table1[[#This Row],[Resolution_Time_Hours]] &gt; Table1[[#This Row],[SLA_Hours]],"Yes","No"))</f>
        <v>Yes</v>
      </c>
    </row>
    <row r="124" spans="1:11" x14ac:dyDescent="0.25">
      <c r="A124" s="1" t="s">
        <v>212</v>
      </c>
      <c r="B124" s="1" t="s">
        <v>213</v>
      </c>
      <c r="C124" s="1" t="s">
        <v>24</v>
      </c>
      <c r="D124" s="1" t="s">
        <v>14</v>
      </c>
      <c r="E124" s="1">
        <v>72</v>
      </c>
      <c r="F124" s="2">
        <v>46033.958333333336</v>
      </c>
      <c r="G124" s="2" t="s">
        <v>243</v>
      </c>
      <c r="H124" s="1" t="s">
        <v>35</v>
      </c>
      <c r="I124" s="1" t="s">
        <v>25</v>
      </c>
      <c r="J124" s="5" t="str">
        <f>IF(Table1[[#This Row],[Ticket_Close_Date]] = "null", "null",((Table1[[#This Row],[Ticket_Close_Date]] - Table1[[#This Row],[Ticket_Open_Date]])*24))</f>
        <v>null</v>
      </c>
      <c r="K124" s="1" t="str">
        <f>IF(Table1[[#This Row],[Resolution_Time_Hours]]="null", "null", IF( Table1[[#This Row],[Resolution_Time_Hours]] &gt; Table1[[#This Row],[SLA_Hours]],"Yes","No"))</f>
        <v>null</v>
      </c>
    </row>
    <row r="125" spans="1:11" x14ac:dyDescent="0.25">
      <c r="A125" s="1" t="s">
        <v>214</v>
      </c>
      <c r="B125" s="1" t="s">
        <v>140</v>
      </c>
      <c r="C125" s="1" t="s">
        <v>48</v>
      </c>
      <c r="D125" s="1" t="s">
        <v>20</v>
      </c>
      <c r="E125" s="1">
        <v>24</v>
      </c>
      <c r="F125" s="2">
        <v>46028.916666666664</v>
      </c>
      <c r="G125" s="2">
        <v>46030.75</v>
      </c>
      <c r="H125" s="1" t="s">
        <v>15</v>
      </c>
      <c r="I125" s="1" t="s">
        <v>16</v>
      </c>
      <c r="J125" s="5">
        <f>IF(Table1[[#This Row],[Ticket_Close_Date]] = "null", "null",((Table1[[#This Row],[Ticket_Close_Date]] - Table1[[#This Row],[Ticket_Open_Date]])*24))</f>
        <v>44.000000000058208</v>
      </c>
      <c r="K125" s="1" t="str">
        <f>IF(Table1[[#This Row],[Resolution_Time_Hours]]="null", "null", IF( Table1[[#This Row],[Resolution_Time_Hours]] &gt; Table1[[#This Row],[SLA_Hours]],"Yes","No"))</f>
        <v>Yes</v>
      </c>
    </row>
    <row r="126" spans="1:11" x14ac:dyDescent="0.25">
      <c r="A126" s="1" t="s">
        <v>215</v>
      </c>
      <c r="B126" s="1" t="s">
        <v>103</v>
      </c>
      <c r="C126" s="1" t="s">
        <v>19</v>
      </c>
      <c r="D126" s="1" t="s">
        <v>20</v>
      </c>
      <c r="E126" s="1">
        <v>24</v>
      </c>
      <c r="F126" s="2">
        <v>46027.666666666664</v>
      </c>
      <c r="G126" s="2">
        <v>46028.833333333336</v>
      </c>
      <c r="H126" s="1" t="s">
        <v>15</v>
      </c>
      <c r="I126" s="1" t="s">
        <v>16</v>
      </c>
      <c r="J126" s="5">
        <f>IF(Table1[[#This Row],[Ticket_Close_Date]] = "null", "null",((Table1[[#This Row],[Ticket_Close_Date]] - Table1[[#This Row],[Ticket_Open_Date]])*24))</f>
        <v>28.000000000116415</v>
      </c>
      <c r="K126" s="1" t="str">
        <f>IF(Table1[[#This Row],[Resolution_Time_Hours]]="null", "null", IF( Table1[[#This Row],[Resolution_Time_Hours]] &gt; Table1[[#This Row],[SLA_Hours]],"Yes","No"))</f>
        <v>Yes</v>
      </c>
    </row>
    <row r="127" spans="1:11" x14ac:dyDescent="0.25">
      <c r="A127" s="1" t="s">
        <v>216</v>
      </c>
      <c r="B127" s="1" t="s">
        <v>217</v>
      </c>
      <c r="C127" s="1" t="s">
        <v>24</v>
      </c>
      <c r="D127" s="1" t="s">
        <v>14</v>
      </c>
      <c r="E127" s="1">
        <v>72</v>
      </c>
      <c r="F127" s="2">
        <v>46035.833333333336</v>
      </c>
      <c r="G127" s="2">
        <v>46037.375</v>
      </c>
      <c r="H127" s="1" t="s">
        <v>15</v>
      </c>
      <c r="I127" s="1" t="s">
        <v>25</v>
      </c>
      <c r="J127" s="5">
        <f>IF(Table1[[#This Row],[Ticket_Close_Date]] = "null", "null",((Table1[[#This Row],[Ticket_Close_Date]] - Table1[[#This Row],[Ticket_Open_Date]])*24))</f>
        <v>36.999999999941792</v>
      </c>
      <c r="K127" s="1" t="str">
        <f>IF(Table1[[#This Row],[Resolution_Time_Hours]]="null", "null", IF( Table1[[#This Row],[Resolution_Time_Hours]] &gt; Table1[[#This Row],[SLA_Hours]],"Yes","No"))</f>
        <v>No</v>
      </c>
    </row>
    <row r="128" spans="1:11" x14ac:dyDescent="0.25">
      <c r="A128" s="1" t="s">
        <v>218</v>
      </c>
      <c r="B128" s="1" t="s">
        <v>92</v>
      </c>
      <c r="C128" s="1" t="s">
        <v>43</v>
      </c>
      <c r="D128" s="1" t="s">
        <v>20</v>
      </c>
      <c r="E128" s="1">
        <v>24</v>
      </c>
      <c r="F128" s="2">
        <v>46026.625</v>
      </c>
      <c r="G128" s="2">
        <v>46027.291666666664</v>
      </c>
      <c r="H128" s="1" t="s">
        <v>15</v>
      </c>
      <c r="I128" s="1" t="s">
        <v>25</v>
      </c>
      <c r="J128" s="5">
        <f>IF(Table1[[#This Row],[Ticket_Close_Date]] = "null", "null",((Table1[[#This Row],[Ticket_Close_Date]] - Table1[[#This Row],[Ticket_Open_Date]])*24))</f>
        <v>15.999999999941792</v>
      </c>
      <c r="K128" s="1" t="str">
        <f>IF(Table1[[#This Row],[Resolution_Time_Hours]]="null", "null", IF( Table1[[#This Row],[Resolution_Time_Hours]] &gt; Table1[[#This Row],[SLA_Hours]],"Yes","No"))</f>
        <v>No</v>
      </c>
    </row>
    <row r="129" spans="1:11" x14ac:dyDescent="0.25">
      <c r="A129" s="1" t="s">
        <v>219</v>
      </c>
      <c r="B129" s="1" t="s">
        <v>42</v>
      </c>
      <c r="C129" s="1" t="s">
        <v>13</v>
      </c>
      <c r="D129" s="1" t="s">
        <v>20</v>
      </c>
      <c r="E129" s="1">
        <v>24</v>
      </c>
      <c r="F129" s="2">
        <v>46033</v>
      </c>
      <c r="G129" s="2" t="s">
        <v>243</v>
      </c>
      <c r="H129" s="1" t="s">
        <v>35</v>
      </c>
      <c r="I129" s="1" t="s">
        <v>36</v>
      </c>
      <c r="J129" s="5" t="str">
        <f>IF(Table1[[#This Row],[Ticket_Close_Date]] = "null", "null",((Table1[[#This Row],[Ticket_Close_Date]] - Table1[[#This Row],[Ticket_Open_Date]])*24))</f>
        <v>null</v>
      </c>
      <c r="K129" s="1" t="str">
        <f>IF(Table1[[#This Row],[Resolution_Time_Hours]]="null", "null", IF( Table1[[#This Row],[Resolution_Time_Hours]] &gt; Table1[[#This Row],[SLA_Hours]],"Yes","No"))</f>
        <v>null</v>
      </c>
    </row>
    <row r="130" spans="1:11" x14ac:dyDescent="0.25">
      <c r="A130" s="1" t="s">
        <v>220</v>
      </c>
      <c r="B130" s="1" t="s">
        <v>194</v>
      </c>
      <c r="C130" s="1" t="s">
        <v>48</v>
      </c>
      <c r="D130" s="1" t="s">
        <v>14</v>
      </c>
      <c r="E130" s="1">
        <v>72</v>
      </c>
      <c r="F130" s="2">
        <v>46028.416666666664</v>
      </c>
      <c r="G130" s="2" t="s">
        <v>243</v>
      </c>
      <c r="H130" s="1" t="s">
        <v>35</v>
      </c>
      <c r="I130" s="1" t="s">
        <v>25</v>
      </c>
      <c r="J130" s="5" t="str">
        <f>IF(Table1[[#This Row],[Ticket_Close_Date]] = "null", "null",((Table1[[#This Row],[Ticket_Close_Date]] - Table1[[#This Row],[Ticket_Open_Date]])*24))</f>
        <v>null</v>
      </c>
      <c r="K130" s="1" t="str">
        <f>IF(Table1[[#This Row],[Resolution_Time_Hours]]="null", "null", IF( Table1[[#This Row],[Resolution_Time_Hours]] &gt; Table1[[#This Row],[SLA_Hours]],"Yes","No"))</f>
        <v>null</v>
      </c>
    </row>
    <row r="131" spans="1:11" x14ac:dyDescent="0.25">
      <c r="A131" s="1" t="s">
        <v>221</v>
      </c>
      <c r="B131" s="1" t="s">
        <v>222</v>
      </c>
      <c r="C131" s="1" t="s">
        <v>13</v>
      </c>
      <c r="D131" s="1" t="s">
        <v>20</v>
      </c>
      <c r="E131" s="1">
        <v>24</v>
      </c>
      <c r="F131" s="2">
        <v>46034.75</v>
      </c>
      <c r="G131" s="2">
        <v>46037.708333333336</v>
      </c>
      <c r="H131" s="1" t="s">
        <v>15</v>
      </c>
      <c r="I131" s="1" t="s">
        <v>16</v>
      </c>
      <c r="J131" s="5">
        <f>IF(Table1[[#This Row],[Ticket_Close_Date]] = "null", "null",((Table1[[#This Row],[Ticket_Close_Date]] - Table1[[#This Row],[Ticket_Open_Date]])*24))</f>
        <v>71.000000000058208</v>
      </c>
      <c r="K131" s="1" t="str">
        <f>IF(Table1[[#This Row],[Resolution_Time_Hours]]="null", "null", IF( Table1[[#This Row],[Resolution_Time_Hours]] &gt; Table1[[#This Row],[SLA_Hours]],"Yes","No"))</f>
        <v>Yes</v>
      </c>
    </row>
    <row r="132" spans="1:11" x14ac:dyDescent="0.25">
      <c r="A132" s="1" t="s">
        <v>223</v>
      </c>
      <c r="B132" s="1" t="s">
        <v>62</v>
      </c>
      <c r="C132" s="1" t="s">
        <v>43</v>
      </c>
      <c r="D132" s="1" t="s">
        <v>20</v>
      </c>
      <c r="E132" s="1">
        <v>24</v>
      </c>
      <c r="F132" s="2">
        <v>46032.416666666664</v>
      </c>
      <c r="G132" s="2" t="s">
        <v>243</v>
      </c>
      <c r="H132" s="1" t="s">
        <v>35</v>
      </c>
      <c r="I132" s="1" t="s">
        <v>49</v>
      </c>
      <c r="J132" s="5" t="str">
        <f>IF(Table1[[#This Row],[Ticket_Close_Date]] = "null", "null",((Table1[[#This Row],[Ticket_Close_Date]] - Table1[[#This Row],[Ticket_Open_Date]])*24))</f>
        <v>null</v>
      </c>
      <c r="K132" s="1" t="str">
        <f>IF(Table1[[#This Row],[Resolution_Time_Hours]]="null", "null", IF( Table1[[#This Row],[Resolution_Time_Hours]] &gt; Table1[[#This Row],[SLA_Hours]],"Yes","No"))</f>
        <v>null</v>
      </c>
    </row>
    <row r="133" spans="1:11" x14ac:dyDescent="0.25">
      <c r="A133" s="1" t="s">
        <v>224</v>
      </c>
      <c r="B133" s="1" t="s">
        <v>98</v>
      </c>
      <c r="C133" s="1" t="s">
        <v>48</v>
      </c>
      <c r="D133" s="1" t="s">
        <v>30</v>
      </c>
      <c r="E133" s="1">
        <v>48</v>
      </c>
      <c r="F133" s="2">
        <v>46027.625</v>
      </c>
      <c r="G133" s="2">
        <v>46029.791666666664</v>
      </c>
      <c r="H133" s="1" t="s">
        <v>15</v>
      </c>
      <c r="I133" s="1" t="s">
        <v>16</v>
      </c>
      <c r="J133" s="5">
        <f>IF(Table1[[#This Row],[Ticket_Close_Date]] = "null", "null",((Table1[[#This Row],[Ticket_Close_Date]] - Table1[[#This Row],[Ticket_Open_Date]])*24))</f>
        <v>51.999999999941792</v>
      </c>
      <c r="K133" s="1" t="str">
        <f>IF(Table1[[#This Row],[Resolution_Time_Hours]]="null", "null", IF( Table1[[#This Row],[Resolution_Time_Hours]] &gt; Table1[[#This Row],[SLA_Hours]],"Yes","No"))</f>
        <v>Yes</v>
      </c>
    </row>
    <row r="134" spans="1:11" x14ac:dyDescent="0.25">
      <c r="A134" s="1" t="s">
        <v>225</v>
      </c>
      <c r="B134" s="1" t="s">
        <v>142</v>
      </c>
      <c r="C134" s="1" t="s">
        <v>19</v>
      </c>
      <c r="D134" s="1" t="s">
        <v>14</v>
      </c>
      <c r="E134" s="1">
        <v>72</v>
      </c>
      <c r="F134" s="2">
        <v>46029.291666666664</v>
      </c>
      <c r="G134" s="2" t="s">
        <v>243</v>
      </c>
      <c r="H134" s="1" t="s">
        <v>35</v>
      </c>
      <c r="I134" s="1" t="s">
        <v>16</v>
      </c>
      <c r="J134" s="5" t="str">
        <f>IF(Table1[[#This Row],[Ticket_Close_Date]] = "null", "null",((Table1[[#This Row],[Ticket_Close_Date]] - Table1[[#This Row],[Ticket_Open_Date]])*24))</f>
        <v>null</v>
      </c>
      <c r="K134" s="1" t="str">
        <f>IF(Table1[[#This Row],[Resolution_Time_Hours]]="null", "null", IF( Table1[[#This Row],[Resolution_Time_Hours]] &gt; Table1[[#This Row],[SLA_Hours]],"Yes","No"))</f>
        <v>null</v>
      </c>
    </row>
    <row r="135" spans="1:11" x14ac:dyDescent="0.25">
      <c r="A135" s="1" t="s">
        <v>226</v>
      </c>
      <c r="B135" s="1" t="s">
        <v>200</v>
      </c>
      <c r="C135" s="1" t="s">
        <v>24</v>
      </c>
      <c r="D135" s="1" t="s">
        <v>30</v>
      </c>
      <c r="E135" s="1">
        <v>48</v>
      </c>
      <c r="F135" s="2">
        <v>46024.166666666664</v>
      </c>
      <c r="G135" s="2">
        <v>46024.375</v>
      </c>
      <c r="H135" s="1" t="s">
        <v>15</v>
      </c>
      <c r="I135" s="1" t="s">
        <v>16</v>
      </c>
      <c r="J135" s="5">
        <f>IF(Table1[[#This Row],[Ticket_Close_Date]] = "null", "null",((Table1[[#This Row],[Ticket_Close_Date]] - Table1[[#This Row],[Ticket_Open_Date]])*24))</f>
        <v>5.0000000000582077</v>
      </c>
      <c r="K135" s="1" t="str">
        <f>IF(Table1[[#This Row],[Resolution_Time_Hours]]="null", "null", IF( Table1[[#This Row],[Resolution_Time_Hours]] &gt; Table1[[#This Row],[SLA_Hours]],"Yes","No"))</f>
        <v>No</v>
      </c>
    </row>
    <row r="136" spans="1:11" x14ac:dyDescent="0.25">
      <c r="A136" s="1" t="s">
        <v>227</v>
      </c>
      <c r="B136" s="1" t="s">
        <v>128</v>
      </c>
      <c r="C136" s="1" t="s">
        <v>13</v>
      </c>
      <c r="D136" s="1" t="s">
        <v>30</v>
      </c>
      <c r="E136" s="1">
        <v>48</v>
      </c>
      <c r="F136" s="2">
        <v>46023.541666666664</v>
      </c>
      <c r="G136" s="2">
        <v>46024.208333333336</v>
      </c>
      <c r="H136" s="1" t="s">
        <v>15</v>
      </c>
      <c r="I136" s="1" t="s">
        <v>25</v>
      </c>
      <c r="J136" s="5">
        <f>IF(Table1[[#This Row],[Ticket_Close_Date]] = "null", "null",((Table1[[#This Row],[Ticket_Close_Date]] - Table1[[#This Row],[Ticket_Open_Date]])*24))</f>
        <v>16.000000000116415</v>
      </c>
      <c r="K136" s="1" t="str">
        <f>IF(Table1[[#This Row],[Resolution_Time_Hours]]="null", "null", IF( Table1[[#This Row],[Resolution_Time_Hours]] &gt; Table1[[#This Row],[SLA_Hours]],"Yes","No"))</f>
        <v>No</v>
      </c>
    </row>
    <row r="137" spans="1:11" x14ac:dyDescent="0.25">
      <c r="A137" s="1" t="s">
        <v>228</v>
      </c>
      <c r="B137" s="1" t="s">
        <v>96</v>
      </c>
      <c r="C137" s="1" t="s">
        <v>19</v>
      </c>
      <c r="D137" s="1" t="s">
        <v>30</v>
      </c>
      <c r="E137" s="1">
        <v>48</v>
      </c>
      <c r="F137" s="2">
        <v>46025.208333333336</v>
      </c>
      <c r="G137" s="2">
        <v>46025.666666666664</v>
      </c>
      <c r="H137" s="1" t="s">
        <v>15</v>
      </c>
      <c r="I137" s="1" t="s">
        <v>25</v>
      </c>
      <c r="J137" s="5">
        <f>IF(Table1[[#This Row],[Ticket_Close_Date]] = "null", "null",((Table1[[#This Row],[Ticket_Close_Date]] - Table1[[#This Row],[Ticket_Open_Date]])*24))</f>
        <v>10.999999999883585</v>
      </c>
      <c r="K137" s="1" t="str">
        <f>IF(Table1[[#This Row],[Resolution_Time_Hours]]="null", "null", IF( Table1[[#This Row],[Resolution_Time_Hours]] &gt; Table1[[#This Row],[SLA_Hours]],"Yes","No"))</f>
        <v>No</v>
      </c>
    </row>
    <row r="138" spans="1:11" x14ac:dyDescent="0.25">
      <c r="A138" s="1" t="s">
        <v>229</v>
      </c>
      <c r="B138" s="1" t="s">
        <v>69</v>
      </c>
      <c r="C138" s="1" t="s">
        <v>24</v>
      </c>
      <c r="D138" s="1" t="s">
        <v>14</v>
      </c>
      <c r="E138" s="1">
        <v>72</v>
      </c>
      <c r="F138" s="2">
        <v>46029.625</v>
      </c>
      <c r="G138" s="2">
        <v>46031.458333333336</v>
      </c>
      <c r="H138" s="1" t="s">
        <v>15</v>
      </c>
      <c r="I138" s="1" t="s">
        <v>21</v>
      </c>
      <c r="J138" s="5">
        <f>IF(Table1[[#This Row],[Ticket_Close_Date]] = "null", "null",((Table1[[#This Row],[Ticket_Close_Date]] - Table1[[#This Row],[Ticket_Open_Date]])*24))</f>
        <v>44.000000000058208</v>
      </c>
      <c r="K138" s="1" t="str">
        <f>IF(Table1[[#This Row],[Resolution_Time_Hours]]="null", "null", IF( Table1[[#This Row],[Resolution_Time_Hours]] &gt; Table1[[#This Row],[SLA_Hours]],"Yes","No"))</f>
        <v>No</v>
      </c>
    </row>
    <row r="139" spans="1:11" x14ac:dyDescent="0.25">
      <c r="A139" s="1" t="s">
        <v>230</v>
      </c>
      <c r="B139" s="1" t="s">
        <v>140</v>
      </c>
      <c r="C139" s="1" t="s">
        <v>19</v>
      </c>
      <c r="D139" s="1" t="s">
        <v>30</v>
      </c>
      <c r="E139" s="1">
        <v>48</v>
      </c>
      <c r="F139" s="2">
        <v>46030.833333333336</v>
      </c>
      <c r="G139" s="2" t="s">
        <v>243</v>
      </c>
      <c r="H139" s="1" t="s">
        <v>35</v>
      </c>
      <c r="I139" s="1" t="s">
        <v>25</v>
      </c>
      <c r="J139" s="5" t="str">
        <f>IF(Table1[[#This Row],[Ticket_Close_Date]] = "null", "null",((Table1[[#This Row],[Ticket_Close_Date]] - Table1[[#This Row],[Ticket_Open_Date]])*24))</f>
        <v>null</v>
      </c>
      <c r="K139" s="1" t="str">
        <f>IF(Table1[[#This Row],[Resolution_Time_Hours]]="null", "null", IF( Table1[[#This Row],[Resolution_Time_Hours]] &gt; Table1[[#This Row],[SLA_Hours]],"Yes","No"))</f>
        <v>null</v>
      </c>
    </row>
    <row r="140" spans="1:11" x14ac:dyDescent="0.25">
      <c r="A140" s="1" t="s">
        <v>231</v>
      </c>
      <c r="B140" s="1" t="s">
        <v>96</v>
      </c>
      <c r="C140" s="1" t="s">
        <v>13</v>
      </c>
      <c r="D140" s="1" t="s">
        <v>20</v>
      </c>
      <c r="E140" s="1">
        <v>24</v>
      </c>
      <c r="F140" s="2">
        <v>46026.333333333336</v>
      </c>
      <c r="G140" s="2">
        <v>46027.791666666664</v>
      </c>
      <c r="H140" s="1" t="s">
        <v>15</v>
      </c>
      <c r="I140" s="1" t="s">
        <v>21</v>
      </c>
      <c r="J140" s="5">
        <f>IF(Table1[[#This Row],[Ticket_Close_Date]] = "null", "null",((Table1[[#This Row],[Ticket_Close_Date]] - Table1[[#This Row],[Ticket_Open_Date]])*24))</f>
        <v>34.999999999883585</v>
      </c>
      <c r="K140" s="1" t="str">
        <f>IF(Table1[[#This Row],[Resolution_Time_Hours]]="null", "null", IF( Table1[[#This Row],[Resolution_Time_Hours]] &gt; Table1[[#This Row],[SLA_Hours]],"Yes","No"))</f>
        <v>Yes</v>
      </c>
    </row>
    <row r="141" spans="1:11" x14ac:dyDescent="0.25">
      <c r="A141" s="1" t="s">
        <v>232</v>
      </c>
      <c r="B141" s="1" t="s">
        <v>142</v>
      </c>
      <c r="C141" s="1" t="s">
        <v>43</v>
      </c>
      <c r="D141" s="1" t="s">
        <v>14</v>
      </c>
      <c r="E141" s="1">
        <v>72</v>
      </c>
      <c r="F141" s="2">
        <v>46028.583333333336</v>
      </c>
      <c r="G141" s="2" t="s">
        <v>243</v>
      </c>
      <c r="H141" s="1" t="s">
        <v>35</v>
      </c>
      <c r="I141" s="1" t="s">
        <v>25</v>
      </c>
      <c r="J141" s="5" t="str">
        <f>IF(Table1[[#This Row],[Ticket_Close_Date]] = "null", "null",((Table1[[#This Row],[Ticket_Close_Date]] - Table1[[#This Row],[Ticket_Open_Date]])*24))</f>
        <v>null</v>
      </c>
      <c r="K141" s="1" t="str">
        <f>IF(Table1[[#This Row],[Resolution_Time_Hours]]="null", "null", IF( Table1[[#This Row],[Resolution_Time_Hours]] &gt; Table1[[#This Row],[SLA_Hours]],"Yes","No"))</f>
        <v>null</v>
      </c>
    </row>
    <row r="142" spans="1:11" x14ac:dyDescent="0.25">
      <c r="A142" s="1" t="s">
        <v>233</v>
      </c>
      <c r="B142" s="1" t="s">
        <v>140</v>
      </c>
      <c r="C142" s="1" t="s">
        <v>13</v>
      </c>
      <c r="D142" s="1" t="s">
        <v>14</v>
      </c>
      <c r="E142" s="1">
        <v>72</v>
      </c>
      <c r="F142" s="2">
        <v>46024.916666666664</v>
      </c>
      <c r="G142" s="2">
        <v>46027.708333333336</v>
      </c>
      <c r="H142" s="1" t="s">
        <v>15</v>
      </c>
      <c r="I142" s="1" t="s">
        <v>25</v>
      </c>
      <c r="J142" s="5">
        <f>IF(Table1[[#This Row],[Ticket_Close_Date]] = "null", "null",((Table1[[#This Row],[Ticket_Close_Date]] - Table1[[#This Row],[Ticket_Open_Date]])*24))</f>
        <v>67.000000000116415</v>
      </c>
      <c r="K142" s="1" t="str">
        <f>IF(Table1[[#This Row],[Resolution_Time_Hours]]="null", "null", IF( Table1[[#This Row],[Resolution_Time_Hours]] &gt; Table1[[#This Row],[SLA_Hours]],"Yes","No"))</f>
        <v>No</v>
      </c>
    </row>
    <row r="143" spans="1:11" x14ac:dyDescent="0.25">
      <c r="A143" s="1" t="s">
        <v>234</v>
      </c>
      <c r="B143" s="1" t="s">
        <v>160</v>
      </c>
      <c r="C143" s="1" t="s">
        <v>24</v>
      </c>
      <c r="D143" s="1" t="s">
        <v>14</v>
      </c>
      <c r="E143" s="1">
        <v>72</v>
      </c>
      <c r="F143" s="2">
        <v>46033.625</v>
      </c>
      <c r="G143" s="2" t="s">
        <v>243</v>
      </c>
      <c r="H143" s="1" t="s">
        <v>35</v>
      </c>
      <c r="I143" s="1" t="s">
        <v>16</v>
      </c>
      <c r="J143" s="5" t="str">
        <f>IF(Table1[[#This Row],[Ticket_Close_Date]] = "null", "null",((Table1[[#This Row],[Ticket_Close_Date]] - Table1[[#This Row],[Ticket_Open_Date]])*24))</f>
        <v>null</v>
      </c>
      <c r="K143" s="1" t="str">
        <f>IF(Table1[[#This Row],[Resolution_Time_Hours]]="null", "null", IF( Table1[[#This Row],[Resolution_Time_Hours]] &gt; Table1[[#This Row],[SLA_Hours]],"Yes","No"))</f>
        <v>null</v>
      </c>
    </row>
    <row r="144" spans="1:11" x14ac:dyDescent="0.25">
      <c r="A144" s="1" t="s">
        <v>235</v>
      </c>
      <c r="B144" s="1" t="s">
        <v>88</v>
      </c>
      <c r="C144" s="1" t="s">
        <v>13</v>
      </c>
      <c r="D144" s="1" t="s">
        <v>20</v>
      </c>
      <c r="E144" s="1">
        <v>24</v>
      </c>
      <c r="F144" s="2">
        <v>46035.458333333336</v>
      </c>
      <c r="G144" s="2">
        <v>46037.166666666664</v>
      </c>
      <c r="H144" s="1" t="s">
        <v>15</v>
      </c>
      <c r="I144" s="1" t="s">
        <v>49</v>
      </c>
      <c r="J144" s="5">
        <f>IF(Table1[[#This Row],[Ticket_Close_Date]] = "null", "null",((Table1[[#This Row],[Ticket_Close_Date]] - Table1[[#This Row],[Ticket_Open_Date]])*24))</f>
        <v>40.999999999883585</v>
      </c>
      <c r="K144" s="1" t="str">
        <f>IF(Table1[[#This Row],[Resolution_Time_Hours]]="null", "null", IF( Table1[[#This Row],[Resolution_Time_Hours]] &gt; Table1[[#This Row],[SLA_Hours]],"Yes","No"))</f>
        <v>Yes</v>
      </c>
    </row>
    <row r="145" spans="1:11" x14ac:dyDescent="0.25">
      <c r="A145" s="1" t="s">
        <v>236</v>
      </c>
      <c r="B145" s="1" t="s">
        <v>38</v>
      </c>
      <c r="C145" s="1" t="s">
        <v>13</v>
      </c>
      <c r="D145" s="1" t="s">
        <v>20</v>
      </c>
      <c r="E145" s="1">
        <v>24</v>
      </c>
      <c r="F145" s="2">
        <v>46032.458333333336</v>
      </c>
      <c r="G145" s="2" t="s">
        <v>243</v>
      </c>
      <c r="H145" s="1" t="s">
        <v>35</v>
      </c>
      <c r="I145" s="1" t="s">
        <v>16</v>
      </c>
      <c r="J145" s="5" t="str">
        <f>IF(Table1[[#This Row],[Ticket_Close_Date]] = "null", "null",((Table1[[#This Row],[Ticket_Close_Date]] - Table1[[#This Row],[Ticket_Open_Date]])*24))</f>
        <v>null</v>
      </c>
      <c r="K145" s="1" t="str">
        <f>IF(Table1[[#This Row],[Resolution_Time_Hours]]="null", "null", IF( Table1[[#This Row],[Resolution_Time_Hours]] &gt; Table1[[#This Row],[SLA_Hours]],"Yes","No"))</f>
        <v>null</v>
      </c>
    </row>
    <row r="146" spans="1:11" x14ac:dyDescent="0.25">
      <c r="A146" s="1" t="s">
        <v>237</v>
      </c>
      <c r="B146" s="1" t="s">
        <v>38</v>
      </c>
      <c r="C146" s="1" t="s">
        <v>24</v>
      </c>
      <c r="D146" s="1" t="s">
        <v>30</v>
      </c>
      <c r="E146" s="1">
        <v>48</v>
      </c>
      <c r="F146" s="2">
        <v>46027.75</v>
      </c>
      <c r="G146" s="2">
        <v>46029.75</v>
      </c>
      <c r="H146" s="1" t="s">
        <v>15</v>
      </c>
      <c r="I146" s="1" t="s">
        <v>21</v>
      </c>
      <c r="J146" s="5">
        <f>IF(Table1[[#This Row],[Ticket_Close_Date]] = "null", "null",((Table1[[#This Row],[Ticket_Close_Date]] - Table1[[#This Row],[Ticket_Open_Date]])*24))</f>
        <v>48</v>
      </c>
      <c r="K146" s="1" t="str">
        <f>IF(Table1[[#This Row],[Resolution_Time_Hours]]="null", "null", IF( Table1[[#This Row],[Resolution_Time_Hours]] &gt; Table1[[#This Row],[SLA_Hours]],"Yes","No"))</f>
        <v>No</v>
      </c>
    </row>
    <row r="147" spans="1:11" x14ac:dyDescent="0.25">
      <c r="A147" s="1" t="s">
        <v>238</v>
      </c>
      <c r="B147" s="1" t="s">
        <v>90</v>
      </c>
      <c r="C147" s="1" t="s">
        <v>19</v>
      </c>
      <c r="D147" s="1" t="s">
        <v>14</v>
      </c>
      <c r="E147" s="1">
        <v>72</v>
      </c>
      <c r="F147" s="2">
        <v>46029.333333333336</v>
      </c>
      <c r="G147" s="2">
        <v>46031.375</v>
      </c>
      <c r="H147" s="1" t="s">
        <v>15</v>
      </c>
      <c r="I147" s="1" t="s">
        <v>21</v>
      </c>
      <c r="J147" s="5">
        <f>IF(Table1[[#This Row],[Ticket_Close_Date]] = "null", "null",((Table1[[#This Row],[Ticket_Close_Date]] - Table1[[#This Row],[Ticket_Open_Date]])*24))</f>
        <v>48.999999999941792</v>
      </c>
      <c r="K147" s="1" t="str">
        <f>IF(Table1[[#This Row],[Resolution_Time_Hours]]="null", "null", IF( Table1[[#This Row],[Resolution_Time_Hours]] &gt; Table1[[#This Row],[SLA_Hours]],"Yes","No"))</f>
        <v>No</v>
      </c>
    </row>
    <row r="148" spans="1:11" x14ac:dyDescent="0.25">
      <c r="A148" s="1" t="s">
        <v>239</v>
      </c>
      <c r="B148" s="1" t="s">
        <v>109</v>
      </c>
      <c r="C148" s="1" t="s">
        <v>19</v>
      </c>
      <c r="D148" s="1" t="s">
        <v>14</v>
      </c>
      <c r="E148" s="1">
        <v>72</v>
      </c>
      <c r="F148" s="2">
        <v>46031.875</v>
      </c>
      <c r="G148" s="2" t="s">
        <v>243</v>
      </c>
      <c r="H148" s="1" t="s">
        <v>35</v>
      </c>
      <c r="I148" s="1" t="s">
        <v>36</v>
      </c>
      <c r="J148" s="5" t="str">
        <f>IF(Table1[[#This Row],[Ticket_Close_Date]] = "null", "null",((Table1[[#This Row],[Ticket_Close_Date]] - Table1[[#This Row],[Ticket_Open_Date]])*24))</f>
        <v>null</v>
      </c>
      <c r="K148" s="1" t="str">
        <f>IF(Table1[[#This Row],[Resolution_Time_Hours]]="null", "null", IF( Table1[[#This Row],[Resolution_Time_Hours]] &gt; Table1[[#This Row],[SLA_Hours]],"Yes","No"))</f>
        <v>null</v>
      </c>
    </row>
    <row r="149" spans="1:11" x14ac:dyDescent="0.25">
      <c r="A149" s="1" t="s">
        <v>240</v>
      </c>
      <c r="B149" s="1" t="s">
        <v>42</v>
      </c>
      <c r="C149" s="1" t="s">
        <v>13</v>
      </c>
      <c r="D149" s="1" t="s">
        <v>14</v>
      </c>
      <c r="E149" s="1">
        <v>72</v>
      </c>
      <c r="F149" s="2">
        <v>46026.541666666664</v>
      </c>
      <c r="G149" s="2">
        <v>46029.083333333336</v>
      </c>
      <c r="H149" s="1" t="s">
        <v>15</v>
      </c>
      <c r="I149" s="1" t="s">
        <v>25</v>
      </c>
      <c r="J149" s="5">
        <f>IF(Table1[[#This Row],[Ticket_Close_Date]] = "null", "null",((Table1[[#This Row],[Ticket_Close_Date]] - Table1[[#This Row],[Ticket_Open_Date]])*24))</f>
        <v>61.000000000116415</v>
      </c>
      <c r="K149" s="1" t="str">
        <f>IF(Table1[[#This Row],[Resolution_Time_Hours]]="null", "null", IF( Table1[[#This Row],[Resolution_Time_Hours]] &gt; Table1[[#This Row],[SLA_Hours]],"Yes","No"))</f>
        <v>No</v>
      </c>
    </row>
    <row r="150" spans="1:11" x14ac:dyDescent="0.25">
      <c r="A150" s="1" t="s">
        <v>241</v>
      </c>
      <c r="B150" s="1" t="s">
        <v>92</v>
      </c>
      <c r="C150" s="1" t="s">
        <v>13</v>
      </c>
      <c r="D150" s="1" t="s">
        <v>30</v>
      </c>
      <c r="E150" s="1">
        <v>48</v>
      </c>
      <c r="F150" s="2">
        <v>46025.25</v>
      </c>
      <c r="G150" s="2" t="s">
        <v>243</v>
      </c>
      <c r="H150" s="1" t="s">
        <v>35</v>
      </c>
      <c r="I150" s="1" t="s">
        <v>49</v>
      </c>
      <c r="J150" s="5" t="str">
        <f>IF(Table1[[#This Row],[Ticket_Close_Date]] = "null", "null",((Table1[[#This Row],[Ticket_Close_Date]] - Table1[[#This Row],[Ticket_Open_Date]])*24))</f>
        <v>null</v>
      </c>
      <c r="K150" s="1" t="str">
        <f>IF(Table1[[#This Row],[Resolution_Time_Hours]]="null", "null", IF( Table1[[#This Row],[Resolution_Time_Hours]] &gt; Table1[[#This Row],[SLA_Hours]],"Yes","No"))</f>
        <v>null</v>
      </c>
    </row>
    <row r="151" spans="1:11" x14ac:dyDescent="0.25">
      <c r="A151" s="1" t="s">
        <v>242</v>
      </c>
      <c r="B151" s="1" t="s">
        <v>32</v>
      </c>
      <c r="C151" s="1" t="s">
        <v>13</v>
      </c>
      <c r="D151" s="1" t="s">
        <v>20</v>
      </c>
      <c r="E151" s="1">
        <v>24</v>
      </c>
      <c r="F151" s="2">
        <v>46027.625</v>
      </c>
      <c r="G151" s="2">
        <v>46030.875</v>
      </c>
      <c r="H151" s="1" t="s">
        <v>15</v>
      </c>
      <c r="I151" s="1" t="s">
        <v>21</v>
      </c>
      <c r="J151" s="5">
        <f>IF(Table1[[#This Row],[Ticket_Close_Date]] = "null", "null",((Table1[[#This Row],[Ticket_Close_Date]] - Table1[[#This Row],[Ticket_Open_Date]])*24))</f>
        <v>78</v>
      </c>
      <c r="K151" s="1" t="str">
        <f>IF(Table1[[#This Row],[Resolution_Time_Hours]]="null", "null", IF( Table1[[#This Row],[Resolution_Time_Hours]] &gt; Table1[[#This Row],[SLA_Hours]],"Yes","No"))</f>
        <v>Yes</v>
      </c>
    </row>
  </sheetData>
  <conditionalFormatting sqref="D2:D151">
    <cfRule type="containsText" dxfId="23" priority="1" operator="containsText" text="High">
      <formula>NOT(ISERROR(SEARCH("High",D2)))</formula>
    </cfRule>
    <cfRule type="containsText" dxfId="22" priority="2" operator="containsText" text="Medium">
      <formula>NOT(ISERROR(SEARCH("Medium",D2)))</formula>
    </cfRule>
    <cfRule type="containsText" dxfId="21" priority="3" operator="containsText" text="low">
      <formula>NOT(ISERROR(SEARCH("low",D2)))</formula>
    </cfRule>
  </conditionalFormatting>
  <conditionalFormatting sqref="K2:K151">
    <cfRule type="cellIs" dxfId="20" priority="4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Pivot_Priority</vt:lpstr>
      <vt:lpstr>Pivot_Issues</vt:lpstr>
      <vt:lpstr>Pivot_Agent</vt:lpstr>
      <vt:lpstr>complaints_data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Nag</dc:creator>
  <cp:lastModifiedBy>Dev Nag</cp:lastModifiedBy>
  <cp:lastPrinted>2026-02-03T19:57:04Z</cp:lastPrinted>
  <dcterms:created xsi:type="dcterms:W3CDTF">2026-02-02T16:51:11Z</dcterms:created>
  <dcterms:modified xsi:type="dcterms:W3CDTF">2026-02-03T20:55:41Z</dcterms:modified>
</cp:coreProperties>
</file>